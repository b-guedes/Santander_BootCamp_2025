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gued\Downloads\"/>
    </mc:Choice>
  </mc:AlternateContent>
  <xr:revisionPtr revIDLastSave="0" documentId="13_ncr:1_{DF1D4B24-8471-4FCD-B13C-5EC28A411732}" xr6:coauthVersionLast="47" xr6:coauthVersionMax="47" xr10:uidLastSave="{00000000-0000-0000-0000-000000000000}"/>
  <bookViews>
    <workbookView xWindow="25725" yWindow="0" windowWidth="15375" windowHeight="778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3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3" l="1"/>
  <c r="C41" i="3"/>
  <c r="C23" i="3"/>
  <c r="C24" i="3"/>
  <c r="C25" i="3"/>
  <c r="F25" i="3"/>
  <c r="F24" i="3"/>
  <c r="F23" i="3"/>
  <c r="C26" i="3"/>
</calcChain>
</file>

<file path=xl/sharedStrings.xml><?xml version="1.0" encoding="utf-8"?>
<sst xmlns="http://schemas.openxmlformats.org/spreadsheetml/2006/main" count="2056" uniqueCount="342">
  <si>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</si>
  <si>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</si>
  <si>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</si>
  <si>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</si>
  <si>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</si>
  <si>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</si>
  <si>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</si>
  <si>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</si>
  <si>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</si>
  <si>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</si>
  <si>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</si>
  <si>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</si>
  <si>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</si>
  <si>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</si>
  <si>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</si>
  <si>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</si>
  <si>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</si>
  <si>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</si>
  <si>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</si>
  <si>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</si>
  <si>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</si>
  <si>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</si>
  <si>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</si>
  <si>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</si>
  <si>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</si>
  <si>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</si>
  <si>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</si>
  <si>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</si>
  <si>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</si>
  <si>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</si>
  <si>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</si>
  <si>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</si>
  <si>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</si>
  <si>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</si>
  <si>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</si>
  <si>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</si>
  <si>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</si>
  <si>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</si>
  <si>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</si>
  <si>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</si>
  <si>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</si>
  <si>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</si>
  <si>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</si>
  <si>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</si>
  <si>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</si>
  <si>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</si>
  <si>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</si>
  <si>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</si>
  <si>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</si>
  <si>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</si>
  <si>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</si>
  <si>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</si>
  <si>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</si>
  <si>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</si>
  <si>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</si>
  <si>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</si>
  <si>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</si>
  <si>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</si>
  <si>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</si>
  <si>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</si>
  <si>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</si>
  <si>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</si>
  <si>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</si>
  <si>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</si>
  <si>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</si>
  <si>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</si>
  <si>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</si>
  <si>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</si>
  <si>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</si>
  <si>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</si>
  <si>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</si>
  <si>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</si>
  <si>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</si>
  <si>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</si>
  <si>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</si>
  <si>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</si>
  <si>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</si>
  <si>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</si>
  <si>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</si>
  <si>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</si>
  <si>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</si>
  <si>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</si>
  <si>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</si>
  <si>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</si>
  <si>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</si>
  <si>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</si>
  <si>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</si>
  <si>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</si>
  <si>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</si>
  <si>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</si>
  <si>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</si>
  <si>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</si>
  <si>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</si>
  <si>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</si>
  <si>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</si>
  <si>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</si>
  <si>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</si>
  <si>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</si>
  <si>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</si>
  <si>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</si>
  <si>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</si>
  <si>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</si>
  <si>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</si>
  <si>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</si>
  <si>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</si>
  <si>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</si>
  <si>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</si>
  <si>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</si>
  <si>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</si>
  <si>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</si>
  <si>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</si>
  <si>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</si>
  <si>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</si>
  <si>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</si>
  <si>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</si>
  <si>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</si>
  <si>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</si>
  <si>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</si>
  <si>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</si>
  <si>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</si>
  <si>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</si>
  <si>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</si>
  <si>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</si>
  <si>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</si>
  <si>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</si>
  <si>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</si>
  <si>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</si>
  <si>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</si>
  <si>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</si>
  <si>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</si>
  <si>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</si>
  <si>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</si>
  <si>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</si>
  <si>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</si>
  <si>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</si>
  <si>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</si>
  <si>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</si>
  <si>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</si>
  <si>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</si>
  <si>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</si>
  <si>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</si>
  <si>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</si>
  <si>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</si>
  <si>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</si>
  <si>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</si>
  <si>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</si>
  <si>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</si>
  <si>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</si>
  <si>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</si>
  <si>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</si>
  <si>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</si>
  <si>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</si>
  <si>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</si>
  <si>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</si>
  <si>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</si>
  <si>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</si>
  <si>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</si>
  <si>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</si>
  <si>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</si>
  <si>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</si>
  <si>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</si>
  <si>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</si>
  <si>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</si>
  <si>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</si>
  <si>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</si>
  <si>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</si>
  <si>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</si>
  <si>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</si>
  <si>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</si>
  <si>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</si>
  <si>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</si>
  <si>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</si>
  <si>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</si>
  <si>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</si>
  <si>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</si>
  <si>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</si>
  <si>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</si>
  <si>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</si>
  <si>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</si>
  <si>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</si>
  <si>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</si>
  <si>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</si>
  <si>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</si>
  <si>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</si>
  <si>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</si>
  <si>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</si>
  <si>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</si>
  <si>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</si>
  <si>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</si>
  <si>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</si>
  <si>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</si>
  <si>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</si>
  <si>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</si>
  <si>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</si>
  <si>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</si>
  <si>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</si>
  <si>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</si>
  <si>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</si>
  <si>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</si>
  <si>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</si>
  <si>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</si>
  <si>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</si>
  <si>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</si>
  <si>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</si>
  <si>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</si>
  <si>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</si>
  <si>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</si>
  <si>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</si>
  <si>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</si>
  <si>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</si>
  <si>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</si>
  <si>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</si>
  <si>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</si>
  <si>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</si>
  <si>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</si>
  <si>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</si>
  <si>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</si>
  <si>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</si>
  <si>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</si>
  <si>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</si>
  <si>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</si>
  <si>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</si>
  <si>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</si>
  <si>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</si>
  <si>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</si>
  <si>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</si>
  <si>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</si>
  <si>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</si>
  <si>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</si>
  <si>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</si>
  <si>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</si>
  <si>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</si>
  <si>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</si>
  <si>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</si>
  <si>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</si>
  <si>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</si>
  <si>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</si>
  <si>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</si>
  <si>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</si>
  <si>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</si>
  <si>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</si>
  <si>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</si>
  <si>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</si>
  <si>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</si>
  <si>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</si>
  <si>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</si>
  <si>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</si>
  <si>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</si>
  <si>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</si>
  <si>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</si>
  <si>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</si>
  <si>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</si>
  <si>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</si>
  <si>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</si>
  <si>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</si>
  <si>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</si>
  <si>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</si>
  <si>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</si>
  <si>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</si>
  <si>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</si>
  <si>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</si>
  <si>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</si>
  <si>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</si>
  <si>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</si>
  <si>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</si>
  <si>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</si>
  <si>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</si>
  <si>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</si>
  <si>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</si>
  <si>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</si>
  <si>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</si>
  <si>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</si>
  <si>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</si>
  <si>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</si>
  <si>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</si>
  <si>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</si>
  <si>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</si>
  <si>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</si>
  <si>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</si>
  <si>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</si>
  <si>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</si>
  <si>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</si>
  <si>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</si>
  <si>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</si>
  <si>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</si>
  <si>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</si>
  <si>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</si>
  <si>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</si>
  <si>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</si>
  <si>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</si>
  <si>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</si>
  <si>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</si>
  <si>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</si>
  <si>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</si>
  <si>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</si>
  <si>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</si>
  <si>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</si>
  <si>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</si>
  <si>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</si>
  <si>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</si>
  <si>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</si>
  <si>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</si>
  <si>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</si>
  <si>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</si>
  <si>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</si>
  <si>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</si>
  <si>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</si>
  <si>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</si>
  <si>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</si>
  <si>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</si>
  <si>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</si>
  <si>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</si>
  <si>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</si>
  <si>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negócio:</t>
  </si>
  <si>
    <t>1) Quanto é arrecadado com os consumidores de renovação automática e os sem ela?</t>
  </si>
  <si>
    <t>Rótulos de Linha</t>
  </si>
  <si>
    <t>Total Geral</t>
  </si>
  <si>
    <t>Soma de Total Value</t>
  </si>
  <si>
    <t>2) Como estão distribuidos os tipos de planos?</t>
  </si>
  <si>
    <t>3) Quais são os gastos com produtos da EA e Minecraft?</t>
  </si>
  <si>
    <t>Soma de Minecraft Season Pass Price</t>
  </si>
  <si>
    <t>Soma de EA Play Season Pass</t>
  </si>
  <si>
    <t>(Tudo)</t>
  </si>
  <si>
    <t>4) Qual o total de descontos concedidos?</t>
  </si>
  <si>
    <t>Soma de Coupon Value</t>
  </si>
  <si>
    <t>#9bc848</t>
  </si>
  <si>
    <t>#4fb467</t>
  </si>
  <si>
    <t>#009c7c</t>
  </si>
  <si>
    <t>#008082</t>
  </si>
  <si>
    <t>#22c55e</t>
  </si>
  <si>
    <t>#00ae7c</t>
  </si>
  <si>
    <t>#00968b</t>
  </si>
  <si>
    <t>#007b89</t>
  </si>
  <si>
    <t>#00b072</t>
  </si>
  <si>
    <t>#00a9ff</t>
  </si>
  <si>
    <t>#009e3b</t>
  </si>
  <si>
    <t>#007816</t>
  </si>
  <si>
    <t>#005400</t>
  </si>
  <si>
    <t>XBOX GAME PASS SUBSCRIPTIONS SALES</t>
  </si>
  <si>
    <t>Customers</t>
  </si>
  <si>
    <t>No Auto Renewal</t>
  </si>
  <si>
    <t>&gt; bem vinda, Supervisora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</si>
</sst>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b/>
      <sz val="11"/>
      <color rgb="FF22C55E"/>
      <name val="Segoe UI"/>
      <family val="2"/>
    </font>
    <font>
      <b/>
      <sz val="18"/>
      <color rgb="FF22C55E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4FB467"/>
        <bgColor indexed="64"/>
      </patternFill>
    </fill>
    <fill>
      <patternFill patternType="solid">
        <fgColor rgb="FF009C7C"/>
        <bgColor indexed="64"/>
      </patternFill>
    </fill>
    <fill>
      <patternFill patternType="solid">
        <fgColor rgb="FF008082"/>
        <bgColor indexed="64"/>
      </patternFill>
    </fill>
    <fill>
      <patternFill patternType="solid">
        <fgColor rgb="FF00AE7C"/>
        <bgColor indexed="64"/>
      </patternFill>
    </fill>
    <fill>
      <patternFill patternType="solid">
        <fgColor rgb="FF00968B"/>
        <bgColor indexed="64"/>
      </patternFill>
    </fill>
    <fill>
      <patternFill patternType="solid">
        <fgColor rgb="FF007B89"/>
        <bgColor indexed="64"/>
      </patternFill>
    </fill>
    <fill>
      <patternFill patternType="solid">
        <fgColor rgb="FF00B072"/>
        <bgColor indexed="64"/>
      </patternFill>
    </fill>
    <fill>
      <patternFill patternType="solid">
        <fgColor rgb="FF00A9FF"/>
        <bgColor indexed="64"/>
      </patternFill>
    </fill>
    <fill>
      <patternFill patternType="solid">
        <fgColor rgb="FF009E3B"/>
        <bgColor indexed="64"/>
      </patternFill>
    </fill>
    <fill>
      <patternFill patternType="solid">
        <fgColor rgb="FF007816"/>
        <bgColor indexed="64"/>
      </patternFill>
    </fill>
    <fill>
      <patternFill patternType="solid">
        <fgColor rgb="FF0054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E3B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0" borderId="0" xfId="0" applyFill="1"/>
    <xf numFmtId="0" fontId="5" fillId="0" borderId="0" xfId="0" applyFont="1" applyBorder="1" applyAlignment="1">
      <alignment horizontal="left" vertical="center"/>
    </xf>
    <xf numFmtId="0" fontId="0" fillId="0" borderId="2" xfId="0" applyBorder="1"/>
    <xf numFmtId="44" fontId="0" fillId="0" borderId="0" xfId="2" applyFont="1"/>
    <xf numFmtId="43" fontId="0" fillId="0" borderId="0" xfId="2" applyNumberFormat="1" applyFont="1"/>
    <xf numFmtId="0" fontId="0" fillId="0" borderId="0" xfId="0" applyBorder="1"/>
    <xf numFmtId="0" fontId="6" fillId="0" borderId="2" xfId="0" applyFont="1" applyBorder="1" applyAlignment="1">
      <alignment horizontal="left" vertical="center" indent="5"/>
    </xf>
    <xf numFmtId="0" fontId="4" fillId="16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  <name val="Segoe UI"/>
        <family val="2"/>
        <scheme val="none"/>
      </font>
      <fill>
        <patternFill>
          <bgColor rgb="FF009E3B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BBF7321-C63E-4018-A243-5851203DF999}">
      <tableStyleElement type="wholeTable" dxfId="1"/>
      <tableStyleElement type="headerRow" dxfId="0"/>
    </tableStyle>
  </tableStyles>
  <colors>
    <mruColors>
      <color rgb="FF005400"/>
      <color rgb="FF009E3B"/>
      <color rgb="FF22C55E"/>
      <color rgb="FF00968B"/>
      <color rgb="FF9BC848"/>
      <color rgb="FFE8E6E9"/>
      <color rgb="FF007816"/>
      <color rgb="FF00A9FF"/>
      <color rgb="FF00B072"/>
      <color rgb="FF007B8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theme="0" tint="-0.1490218817712943"/>
              </stop>
              <stop position="1">
                <color theme="0" tint="-5.0965910824915313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0" tint="-5.0965910824915313E-2"/>
              </stop>
              <stop position="1">
                <color theme="0" tint="-0.1490218817712943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0"/>
              </stop>
              <stop position="1">
                <color theme="0" tint="-0.1490218817712943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0" tint="-0.1490218817712943"/>
              </stop>
              <stop position="1">
                <color theme="0" tint="-5.0965910824915313E-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[dashboard_vendasXbox_Santander-DIO.xlsx]C̳álculos!tabela_renovacao</c:name>
    <c:fmtId val="10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 Auto Renewal</c:v>
                </c:pt>
                <c:pt idx="1">
                  <c:v>Auto Renewal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E-4605-8CEB-F3442DB1D5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360752"/>
        <c:axId val="182361584"/>
      </c:barChart>
      <c:catAx>
        <c:axId val="182360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1584"/>
        <c:crosses val="autoZero"/>
        <c:auto val="1"/>
        <c:lblAlgn val="ctr"/>
        <c:lblOffset val="100"/>
        <c:noMultiLvlLbl val="0"/>
      </c:catAx>
      <c:valAx>
        <c:axId val="1823615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236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[dashboard_vendasXbox_Santander-DIO.xlsx]C̳álculos!Tabela dinâmica6</c:name>
    <c:fmtId val="1"/>
  </c:pivotSource>
  <c:chart>
    <c:autoTitleDeleted val="1"/>
    <c:pivotFmts>
      <c:pivotFmt>
        <c:idx val="0"/>
        <c:spPr>
          <a:solidFill>
            <a:srgbClr val="009E3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9E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C̳álculos!$B$48:$B$51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C̳álculos!$C$48:$C$51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9-4B6D-AE44-BBC9CFEB80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8681360"/>
        <c:axId val="608666384"/>
      </c:barChart>
      <c:catAx>
        <c:axId val="60868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8666384"/>
        <c:crosses val="autoZero"/>
        <c:auto val="1"/>
        <c:lblAlgn val="ctr"/>
        <c:lblOffset val="100"/>
        <c:noMultiLvlLbl val="0"/>
      </c:catAx>
      <c:valAx>
        <c:axId val="60866638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0868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[dashboard_vendasXbox_Santander-DIO.xlsx]C̳álculos!tabela_renovacao</c:name>
    <c:fmtId val="12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9E3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54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67580147475867"/>
          <c:y val="0"/>
          <c:w val="0.87040715945455027"/>
          <c:h val="0.965348494705868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9E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54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 Auto Renewal</c:v>
                </c:pt>
                <c:pt idx="1">
                  <c:v>Auto Renewal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D-4CB2-8B63-2751357209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360752"/>
        <c:axId val="182361584"/>
      </c:barChart>
      <c:catAx>
        <c:axId val="182360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54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82361584"/>
        <c:crosses val="autoZero"/>
        <c:auto val="1"/>
        <c:lblAlgn val="ctr"/>
        <c:lblOffset val="100"/>
        <c:noMultiLvlLbl val="0"/>
      </c:catAx>
      <c:valAx>
        <c:axId val="1823615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236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[dashboard_vendasXbox_Santander-DIO.xlsx]C̳álculos!Tabela dinâmica6</c:name>
    <c:fmtId val="3"/>
  </c:pivotSource>
  <c:chart>
    <c:autoTitleDeleted val="1"/>
    <c:pivotFmts>
      <c:pivotFmt>
        <c:idx val="0"/>
        <c:spPr>
          <a:solidFill>
            <a:srgbClr val="009E3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9E3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9E3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54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9E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54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C̳álculos!$B$48:$B$51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C̳álculos!$C$48:$C$51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F-4391-A940-C3A0F6A8B7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608681360"/>
        <c:axId val="608666384"/>
      </c:barChart>
      <c:catAx>
        <c:axId val="60868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54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08666384"/>
        <c:crosses val="autoZero"/>
        <c:auto val="1"/>
        <c:lblAlgn val="ctr"/>
        <c:lblOffset val="100"/>
        <c:noMultiLvlLbl val="0"/>
      </c:catAx>
      <c:valAx>
        <c:axId val="60866638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0868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12.svg"/><Relationship Id="rId7" Type="http://schemas.openxmlformats.org/officeDocument/2006/relationships/image" Target="../media/image8.png"/><Relationship Id="rId12" Type="http://schemas.openxmlformats.org/officeDocument/2006/relationships/image" Target="../media/image5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11" Type="http://schemas.openxmlformats.org/officeDocument/2006/relationships/chart" Target="../charts/chart4.xml"/><Relationship Id="rId5" Type="http://schemas.openxmlformats.org/officeDocument/2006/relationships/image" Target="../media/image14.svg"/><Relationship Id="rId10" Type="http://schemas.openxmlformats.org/officeDocument/2006/relationships/image" Target="../media/image7.png"/><Relationship Id="rId4" Type="http://schemas.openxmlformats.org/officeDocument/2006/relationships/image" Target="../media/image13.png"/><Relationship Id="rId9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285746</xdr:colOff>
      <xdr:row>4</xdr:row>
      <xdr:rowOff>137582</xdr:rowOff>
    </xdr:from>
    <xdr:to>
      <xdr:col>7</xdr:col>
      <xdr:colOff>1185333</xdr:colOff>
      <xdr:row>12</xdr:row>
      <xdr:rowOff>148166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89BCEE-A95D-4E42-8B93-DB543BB13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846667</xdr:colOff>
      <xdr:row>39</xdr:row>
      <xdr:rowOff>120650</xdr:rowOff>
    </xdr:from>
    <xdr:to>
      <xdr:col>7</xdr:col>
      <xdr:colOff>1005417</xdr:colOff>
      <xdr:row>54</xdr:row>
      <xdr:rowOff>165100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E80E5A6-A108-4D09-9A80-40E6B26A9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85726</xdr:rowOff>
    </xdr:from>
    <xdr:to>
      <xdr:col>0</xdr:col>
      <xdr:colOff>1725083</xdr:colOff>
      <xdr:row>20</xdr:row>
      <xdr:rowOff>28576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D4D1BD91-5778-4B1F-A6D3-54E2E91817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86001"/>
              <a:ext cx="1725083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247650</xdr:colOff>
      <xdr:row>0</xdr:row>
      <xdr:rowOff>62162</xdr:rowOff>
    </xdr:from>
    <xdr:to>
      <xdr:col>3</xdr:col>
      <xdr:colOff>185369</xdr:colOff>
      <xdr:row>2</xdr:row>
      <xdr:rowOff>135766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26B582C-4856-46AD-A654-D8539A9FE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300" t="-6597" r="68966" b="-3343"/>
        <a:stretch/>
      </xdr:blipFill>
      <xdr:spPr>
        <a:xfrm>
          <a:off x="2133600" y="62162"/>
          <a:ext cx="680669" cy="626054"/>
        </a:xfrm>
        <a:prstGeom prst="rect">
          <a:avLst/>
        </a:prstGeom>
      </xdr:spPr>
    </xdr:pic>
    <xdr:clientData/>
  </xdr:twoCellAnchor>
  <xdr:twoCellAnchor>
    <xdr:from>
      <xdr:col>2</xdr:col>
      <xdr:colOff>232767</xdr:colOff>
      <xdr:row>7</xdr:row>
      <xdr:rowOff>28714</xdr:rowOff>
    </xdr:from>
    <xdr:to>
      <xdr:col>9</xdr:col>
      <xdr:colOff>655353</xdr:colOff>
      <xdr:row>14</xdr:row>
      <xdr:rowOff>160867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EB24F730-2BF7-4BFD-8581-4741FAA9305D}"/>
            </a:ext>
          </a:extLst>
        </xdr:cNvPr>
        <xdr:cNvGrpSpPr/>
      </xdr:nvGrpSpPr>
      <xdr:grpSpPr>
        <a:xfrm>
          <a:off x="2242542" y="1266964"/>
          <a:ext cx="4985061" cy="1637103"/>
          <a:chOff x="7361699" y="1241564"/>
          <a:chExt cx="5004112" cy="1630753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733E8692-8D92-46A3-89DD-4644B9D5F459}"/>
              </a:ext>
            </a:extLst>
          </xdr:cNvPr>
          <xdr:cNvGrpSpPr/>
        </xdr:nvGrpSpPr>
        <xdr:grpSpPr>
          <a:xfrm>
            <a:off x="7361699" y="1241564"/>
            <a:ext cx="5004112" cy="1629833"/>
            <a:chOff x="2032747" y="902607"/>
            <a:chExt cx="5011410" cy="1641172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40411AB1-8BE3-4E9F-A600-2558430E286B}"/>
                </a:ext>
              </a:extLst>
            </xdr:cNvPr>
            <xdr:cNvSpPr/>
          </xdr:nvSpPr>
          <xdr:spPr>
            <a:xfrm>
              <a:off x="2032747" y="902607"/>
              <a:ext cx="4998861" cy="1641172"/>
            </a:xfrm>
            <a:prstGeom prst="roundRect">
              <a:avLst>
                <a:gd name="adj" fmla="val 522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3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0EAC902B-4215-43E9-893C-060AB79C5F03}"/>
                </a:ext>
              </a:extLst>
            </xdr:cNvPr>
            <xdr:cNvSpPr/>
          </xdr:nvSpPr>
          <xdr:spPr>
            <a:xfrm>
              <a:off x="2708672" y="1788968"/>
              <a:ext cx="1363648" cy="575476"/>
            </a:xfrm>
            <a:prstGeom prst="roundRect">
              <a:avLst>
                <a:gd name="adj" fmla="val 870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1B57479-F7B7-4C98-BB2F-05B973D2E8B5}" type="TxLink">
                <a:rPr lang="en-US" sz="2000" b="1" i="0" u="none" strike="noStrike">
                  <a:solidFill>
                    <a:srgbClr val="0054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444,00 </a:t>
              </a:fld>
              <a:endParaRPr lang="en-US" sz="4800" b="1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F24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544EA003-88B6-4EF2-AAAA-3D9FBF8E2EEC}"/>
                </a:ext>
              </a:extLst>
            </xdr:cNvPr>
            <xdr:cNvSpPr/>
          </xdr:nvSpPr>
          <xdr:spPr>
            <a:xfrm>
              <a:off x="4082673" y="1788968"/>
              <a:ext cx="1381841" cy="575476"/>
            </a:xfrm>
            <a:prstGeom prst="roundRect">
              <a:avLst>
                <a:gd name="adj" fmla="val 87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F2CD4A8-CE3A-4A44-9E7E-9DA415966244}" type="TxLink">
                <a:rPr lang="en-US" sz="2000" b="1" i="0" u="none" strike="noStrike">
                  <a:solidFill>
                    <a:srgbClr val="0054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1.801,00 </a:t>
              </a:fld>
              <a:endParaRPr lang="pt-BR" sz="4800" b="1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F25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5D95271B-2AE1-4FEC-81F7-DA5FE5C729D2}"/>
                </a:ext>
              </a:extLst>
            </xdr:cNvPr>
            <xdr:cNvSpPr/>
          </xdr:nvSpPr>
          <xdr:spPr>
            <a:xfrm>
              <a:off x="5456676" y="1788968"/>
              <a:ext cx="1377025" cy="575476"/>
            </a:xfrm>
            <a:prstGeom prst="roundRect">
              <a:avLst>
                <a:gd name="adj" fmla="val 87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75C6CA8-6ABC-437F-8EC4-7B1087F1791D}" type="TxLink">
                <a:rPr lang="en-US" sz="2000" b="1" i="0" u="none" strike="noStrike">
                  <a:solidFill>
                    <a:srgbClr val="005400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5.388,00 </a:t>
              </a:fld>
              <a:endParaRPr lang="pt-BR" sz="4800" b="1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487FC2CC-B9D7-42CA-A1F2-BD42587EDC70}"/>
                </a:ext>
              </a:extLst>
            </xdr:cNvPr>
            <xdr:cNvSpPr/>
          </xdr:nvSpPr>
          <xdr:spPr>
            <a:xfrm>
              <a:off x="2769079" y="1411790"/>
              <a:ext cx="1184666" cy="313315"/>
            </a:xfrm>
            <a:prstGeom prst="roundRect">
              <a:avLst>
                <a:gd name="adj" fmla="val 15623"/>
              </a:avLst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Core</a:t>
              </a:r>
            </a:p>
          </xdr:txBody>
        </xdr:sp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1826E503-8757-40B5-A987-CB95463EE65B}"/>
                </a:ext>
              </a:extLst>
            </xdr:cNvPr>
            <xdr:cNvSpPr/>
          </xdr:nvSpPr>
          <xdr:spPr>
            <a:xfrm>
              <a:off x="4130390" y="1411790"/>
              <a:ext cx="1197358" cy="313315"/>
            </a:xfrm>
            <a:prstGeom prst="roundRect">
              <a:avLst>
                <a:gd name="adj" fmla="val 13892"/>
              </a:avLst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Standard</a:t>
              </a:r>
            </a:p>
          </xdr:txBody>
        </xdr:sp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15D5C4C8-3D13-4F05-BCFF-3B503BC0F757}"/>
                </a:ext>
              </a:extLst>
            </xdr:cNvPr>
            <xdr:cNvSpPr/>
          </xdr:nvSpPr>
          <xdr:spPr>
            <a:xfrm>
              <a:off x="5517083" y="1411790"/>
              <a:ext cx="1184666" cy="313315"/>
            </a:xfrm>
            <a:prstGeom prst="roundRect">
              <a:avLst>
                <a:gd name="adj" fmla="val 19083"/>
              </a:avLst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Ultimate</a:t>
              </a:r>
              <a:endParaRPr lang="en-US" sz="20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7" name="Retângulo: Cantos Superiores Arredondados 26">
              <a:extLst>
                <a:ext uri="{FF2B5EF4-FFF2-40B4-BE49-F238E27FC236}">
                  <a16:creationId xmlns:a16="http://schemas.microsoft.com/office/drawing/2014/main" id="{EE47B4A6-48F7-4AF9-8A25-38B40CADEAA9}"/>
                </a:ext>
              </a:extLst>
            </xdr:cNvPr>
            <xdr:cNvSpPr/>
          </xdr:nvSpPr>
          <xdr:spPr>
            <a:xfrm>
              <a:off x="2034266" y="902608"/>
              <a:ext cx="5009891" cy="353785"/>
            </a:xfrm>
            <a:prstGeom prst="round2SameRect">
              <a:avLst/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8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REVENUE BY PLAN</a:t>
              </a:r>
              <a:endParaRPr lang="pt-BR" sz="1800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18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41" name="Gráfico 40" descr="Moedas com preenchimento sólido">
            <a:extLst>
              <a:ext uri="{FF2B5EF4-FFF2-40B4-BE49-F238E27FC236}">
                <a16:creationId xmlns:a16="http://schemas.microsoft.com/office/drawing/2014/main" id="{CFCD9CEC-B9AC-40E0-A33A-E6ABDE5F8E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418917" y="1957917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574608</xdr:colOff>
      <xdr:row>7</xdr:row>
      <xdr:rowOff>28714</xdr:rowOff>
    </xdr:from>
    <xdr:to>
      <xdr:col>18</xdr:col>
      <xdr:colOff>274352</xdr:colOff>
      <xdr:row>14</xdr:row>
      <xdr:rowOff>159947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BE77BC19-25F6-40C4-A439-A20F455CE78B}"/>
            </a:ext>
          </a:extLst>
        </xdr:cNvPr>
        <xdr:cNvGrpSpPr/>
      </xdr:nvGrpSpPr>
      <xdr:grpSpPr>
        <a:xfrm>
          <a:off x="7832658" y="1266964"/>
          <a:ext cx="5005169" cy="1636183"/>
          <a:chOff x="2000182" y="1235214"/>
          <a:chExt cx="5004111" cy="1629833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63AC965F-C7BC-45B5-BA15-C898CE790320}"/>
              </a:ext>
            </a:extLst>
          </xdr:cNvPr>
          <xdr:cNvGrpSpPr/>
        </xdr:nvGrpSpPr>
        <xdr:grpSpPr>
          <a:xfrm>
            <a:off x="2000182" y="1235214"/>
            <a:ext cx="5004111" cy="1629833"/>
            <a:chOff x="2032747" y="902607"/>
            <a:chExt cx="5011409" cy="1641172"/>
          </a:xfrm>
        </xdr:grpSpPr>
        <xdr:sp macro="" textlink="">
          <xdr:nvSpPr>
            <xdr:cNvPr id="31" name="Retângulo: Cantos Arredondados 30">
              <a:extLst>
                <a:ext uri="{FF2B5EF4-FFF2-40B4-BE49-F238E27FC236}">
                  <a16:creationId xmlns:a16="http://schemas.microsoft.com/office/drawing/2014/main" id="{11355EDF-8DBE-44AC-B610-926BE2E1E2F5}"/>
                </a:ext>
              </a:extLst>
            </xdr:cNvPr>
            <xdr:cNvSpPr/>
          </xdr:nvSpPr>
          <xdr:spPr>
            <a:xfrm>
              <a:off x="2032747" y="902607"/>
              <a:ext cx="4998861" cy="1641172"/>
            </a:xfrm>
            <a:prstGeom prst="roundRect">
              <a:avLst>
                <a:gd name="adj" fmla="val 522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23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1031E662-7437-4F4B-811A-2C391CF3CDEE}"/>
                </a:ext>
              </a:extLst>
            </xdr:cNvPr>
            <xdr:cNvSpPr/>
          </xdr:nvSpPr>
          <xdr:spPr>
            <a:xfrm>
              <a:off x="2761756" y="1788968"/>
              <a:ext cx="1184666" cy="575476"/>
            </a:xfrm>
            <a:prstGeom prst="roundRect">
              <a:avLst>
                <a:gd name="adj" fmla="val 870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EBFF064-5570-4288-8822-00CC05D819E7}" type="TxLink">
                <a:rPr lang="en-US" sz="2400" b="1" i="0" u="none" strike="noStrike">
                  <a:solidFill>
                    <a:srgbClr val="0054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101</a:t>
              </a:fld>
              <a:endParaRPr lang="en-US" sz="5400" b="1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C24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6FEAC09B-4760-421F-A0E7-6B01A1D03E0B}"/>
                </a:ext>
              </a:extLst>
            </xdr:cNvPr>
            <xdr:cNvSpPr/>
          </xdr:nvSpPr>
          <xdr:spPr>
            <a:xfrm>
              <a:off x="4135757" y="1788968"/>
              <a:ext cx="1184666" cy="575476"/>
            </a:xfrm>
            <a:prstGeom prst="roundRect">
              <a:avLst>
                <a:gd name="adj" fmla="val 87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ADBCE8-AF4C-4C59-BAB7-457EFAF23FE1}" type="TxLink">
                <a:rPr lang="en-US" sz="2400" b="1" i="0" u="none" strike="noStrike">
                  <a:solidFill>
                    <a:srgbClr val="0054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96</a:t>
              </a:fld>
              <a:endParaRPr lang="pt-BR" sz="5400" b="1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C25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AE519198-4A86-436D-8FB9-D7942B95D003}"/>
                </a:ext>
              </a:extLst>
            </xdr:cNvPr>
            <xdr:cNvSpPr/>
          </xdr:nvSpPr>
          <xdr:spPr>
            <a:xfrm>
              <a:off x="5509760" y="1788968"/>
              <a:ext cx="1184666" cy="575476"/>
            </a:xfrm>
            <a:prstGeom prst="roundRect">
              <a:avLst>
                <a:gd name="adj" fmla="val 87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4B7049F-8AB2-4C92-8622-ECB863A591F2}" type="TxLink">
                <a:rPr lang="en-US" sz="2400" b="1" i="0" u="none" strike="noStrike">
                  <a:solidFill>
                    <a:srgbClr val="005400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98</a:t>
              </a:fld>
              <a:endParaRPr lang="pt-BR" sz="5400" b="1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7484E8A0-1083-4403-B66C-FED260FAA454}"/>
                </a:ext>
              </a:extLst>
            </xdr:cNvPr>
            <xdr:cNvSpPr/>
          </xdr:nvSpPr>
          <xdr:spPr>
            <a:xfrm>
              <a:off x="2769079" y="1411790"/>
              <a:ext cx="1184666" cy="313315"/>
            </a:xfrm>
            <a:prstGeom prst="roundRect">
              <a:avLst>
                <a:gd name="adj" fmla="val 15623"/>
              </a:avLst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Core</a:t>
              </a:r>
            </a:p>
          </xdr:txBody>
        </xdr:sp>
        <xdr:sp macro="" textlink="">
          <xdr:nvSpPr>
            <xdr:cNvPr id="36" name="Retângulo: Cantos Arredondados 35">
              <a:extLst>
                <a:ext uri="{FF2B5EF4-FFF2-40B4-BE49-F238E27FC236}">
                  <a16:creationId xmlns:a16="http://schemas.microsoft.com/office/drawing/2014/main" id="{50FD25F3-41E1-4F1B-8EB4-CCA1AF792B1B}"/>
                </a:ext>
              </a:extLst>
            </xdr:cNvPr>
            <xdr:cNvSpPr/>
          </xdr:nvSpPr>
          <xdr:spPr>
            <a:xfrm>
              <a:off x="4130390" y="1411790"/>
              <a:ext cx="1197358" cy="313315"/>
            </a:xfrm>
            <a:prstGeom prst="roundRect">
              <a:avLst>
                <a:gd name="adj" fmla="val 13892"/>
              </a:avLst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Standard</a:t>
              </a:r>
            </a:p>
          </xdr:txBody>
        </xdr:sp>
        <xdr:sp macro="" textlink="">
          <xdr:nvSpPr>
            <xdr:cNvPr id="37" name="Retângulo: Cantos Arredondados 36">
              <a:extLst>
                <a:ext uri="{FF2B5EF4-FFF2-40B4-BE49-F238E27FC236}">
                  <a16:creationId xmlns:a16="http://schemas.microsoft.com/office/drawing/2014/main" id="{E6B528F1-541E-48A8-9635-C5FD50CEE3EB}"/>
                </a:ext>
              </a:extLst>
            </xdr:cNvPr>
            <xdr:cNvSpPr/>
          </xdr:nvSpPr>
          <xdr:spPr>
            <a:xfrm>
              <a:off x="5517083" y="1411790"/>
              <a:ext cx="1184666" cy="313315"/>
            </a:xfrm>
            <a:prstGeom prst="roundRect">
              <a:avLst>
                <a:gd name="adj" fmla="val 19083"/>
              </a:avLst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Ultimate</a:t>
              </a:r>
              <a:endParaRPr lang="en-US" sz="20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9" name="Retângulo: Cantos Superiores Arredondados 38">
              <a:extLst>
                <a:ext uri="{FF2B5EF4-FFF2-40B4-BE49-F238E27FC236}">
                  <a16:creationId xmlns:a16="http://schemas.microsoft.com/office/drawing/2014/main" id="{CDA181FD-F5C1-469F-97A7-F8CDE3FAE879}"/>
                </a:ext>
              </a:extLst>
            </xdr:cNvPr>
            <xdr:cNvSpPr/>
          </xdr:nvSpPr>
          <xdr:spPr>
            <a:xfrm>
              <a:off x="2034266" y="902608"/>
              <a:ext cx="5009890" cy="353785"/>
            </a:xfrm>
            <a:prstGeom prst="round2SameRect">
              <a:avLst/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8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CLIENTS BY PLAN</a:t>
              </a:r>
              <a:endParaRPr lang="pt-BR" sz="1800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18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46" name="Gráfico 45" descr="Usuário com preenchimento sólido">
            <a:extLst>
              <a:ext uri="{FF2B5EF4-FFF2-40B4-BE49-F238E27FC236}">
                <a16:creationId xmlns:a16="http://schemas.microsoft.com/office/drawing/2014/main" id="{442B8192-AC1E-4E8F-B808-017E98B648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010833" y="1947333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149224</xdr:colOff>
      <xdr:row>28</xdr:row>
      <xdr:rowOff>171148</xdr:rowOff>
    </xdr:from>
    <xdr:to>
      <xdr:col>11</xdr:col>
      <xdr:colOff>414866</xdr:colOff>
      <xdr:row>50</xdr:row>
      <xdr:rowOff>130327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B3295782-C72D-4A8D-9C88-2B26F27E2A3F}"/>
            </a:ext>
          </a:extLst>
        </xdr:cNvPr>
        <xdr:cNvGrpSpPr/>
      </xdr:nvGrpSpPr>
      <xdr:grpSpPr>
        <a:xfrm>
          <a:off x="1882774" y="5447998"/>
          <a:ext cx="6475942" cy="3940629"/>
          <a:chOff x="2527845" y="5157107"/>
          <a:chExt cx="9189266" cy="3850822"/>
        </a:xfrm>
      </xdr:grpSpPr>
      <xdr:sp macro="" textlink="">
        <xdr:nvSpPr>
          <xdr:cNvPr id="49" name="Retângulo: Cantos Arredondados 48">
            <a:extLst>
              <a:ext uri="{FF2B5EF4-FFF2-40B4-BE49-F238E27FC236}">
                <a16:creationId xmlns:a16="http://schemas.microsoft.com/office/drawing/2014/main" id="{9BE57C6A-CFA6-4373-885D-01794E5CEDC4}"/>
              </a:ext>
            </a:extLst>
          </xdr:cNvPr>
          <xdr:cNvSpPr/>
        </xdr:nvSpPr>
        <xdr:spPr>
          <a:xfrm>
            <a:off x="2544536" y="5157107"/>
            <a:ext cx="9157607" cy="3850822"/>
          </a:xfrm>
          <a:prstGeom prst="roundRect">
            <a:avLst>
              <a:gd name="adj" fmla="val 394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D526EE1-4BFE-4B8F-B9AF-1B0E72EEEA10}"/>
              </a:ext>
            </a:extLst>
          </xdr:cNvPr>
          <xdr:cNvGraphicFramePr>
            <a:graphicFrameLocks/>
          </xdr:cNvGraphicFramePr>
        </xdr:nvGraphicFramePr>
        <xdr:xfrm>
          <a:off x="2527845" y="5666168"/>
          <a:ext cx="9099394" cy="32250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50" name="Retângulo: Cantos Superiores Arredondados 49">
            <a:extLst>
              <a:ext uri="{FF2B5EF4-FFF2-40B4-BE49-F238E27FC236}">
                <a16:creationId xmlns:a16="http://schemas.microsoft.com/office/drawing/2014/main" id="{AC6CD32E-97AE-43CF-A0FF-81A748E892A1}"/>
              </a:ext>
            </a:extLst>
          </xdr:cNvPr>
          <xdr:cNvSpPr/>
        </xdr:nvSpPr>
        <xdr:spPr>
          <a:xfrm>
            <a:off x="2545896" y="5157107"/>
            <a:ext cx="9171215" cy="498022"/>
          </a:xfrm>
          <a:prstGeom prst="round2SameRect">
            <a:avLst/>
          </a:prstGeom>
          <a:solidFill>
            <a:srgbClr val="009E3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REVENUE BY RENEWAL</a:t>
            </a:r>
            <a:r>
              <a:rPr lang="pt-BR" sz="20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TYPE</a:t>
            </a:r>
            <a:endPara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251817</xdr:colOff>
      <xdr:row>17</xdr:row>
      <xdr:rowOff>4104</xdr:rowOff>
    </xdr:from>
    <xdr:to>
      <xdr:col>9</xdr:col>
      <xdr:colOff>674403</xdr:colOff>
      <xdr:row>25</xdr:row>
      <xdr:rowOff>169163</xdr:rowOff>
    </xdr:to>
    <xdr:grpSp>
      <xdr:nvGrpSpPr>
        <xdr:cNvPr id="71" name="Agrupar 70">
          <a:extLst>
            <a:ext uri="{FF2B5EF4-FFF2-40B4-BE49-F238E27FC236}">
              <a16:creationId xmlns:a16="http://schemas.microsoft.com/office/drawing/2014/main" id="{3C371F00-72FE-4A44-BD95-9B7453C64CDA}"/>
            </a:ext>
          </a:extLst>
        </xdr:cNvPr>
        <xdr:cNvGrpSpPr/>
      </xdr:nvGrpSpPr>
      <xdr:grpSpPr>
        <a:xfrm>
          <a:off x="2261592" y="3290229"/>
          <a:ext cx="4985061" cy="1612859"/>
          <a:chOff x="2230899" y="3133864"/>
          <a:chExt cx="4995645" cy="1699644"/>
        </a:xfrm>
      </xdr:grpSpPr>
      <xdr:grpSp>
        <xdr:nvGrpSpPr>
          <xdr:cNvPr id="53" name="Agrupar 52">
            <a:extLst>
              <a:ext uri="{FF2B5EF4-FFF2-40B4-BE49-F238E27FC236}">
                <a16:creationId xmlns:a16="http://schemas.microsoft.com/office/drawing/2014/main" id="{2EBC32E4-F15B-4567-A25C-A05F7385DC53}"/>
              </a:ext>
            </a:extLst>
          </xdr:cNvPr>
          <xdr:cNvGrpSpPr/>
        </xdr:nvGrpSpPr>
        <xdr:grpSpPr>
          <a:xfrm>
            <a:off x="2230899" y="3133864"/>
            <a:ext cx="4995645" cy="1699644"/>
            <a:chOff x="2032747" y="902607"/>
            <a:chExt cx="5011410" cy="1641172"/>
          </a:xfrm>
        </xdr:grpSpPr>
        <xdr:sp macro="" textlink="">
          <xdr:nvSpPr>
            <xdr:cNvPr id="55" name="Retângulo: Cantos Arredondados 54">
              <a:extLst>
                <a:ext uri="{FF2B5EF4-FFF2-40B4-BE49-F238E27FC236}">
                  <a16:creationId xmlns:a16="http://schemas.microsoft.com/office/drawing/2014/main" id="{0C798D8B-6896-4D1D-BBFF-A5692B6A9421}"/>
                </a:ext>
              </a:extLst>
            </xdr:cNvPr>
            <xdr:cNvSpPr/>
          </xdr:nvSpPr>
          <xdr:spPr>
            <a:xfrm>
              <a:off x="2032747" y="902607"/>
              <a:ext cx="4998861" cy="1641172"/>
            </a:xfrm>
            <a:prstGeom prst="roundRect">
              <a:avLst>
                <a:gd name="adj" fmla="val 522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4">
          <xdr:nvSpPr>
            <xdr:cNvPr id="57" name="Retângulo: Cantos Arredondados 56">
              <a:extLst>
                <a:ext uri="{FF2B5EF4-FFF2-40B4-BE49-F238E27FC236}">
                  <a16:creationId xmlns:a16="http://schemas.microsoft.com/office/drawing/2014/main" id="{14E47FE4-C8AA-4327-B584-CA1074F9FF14}"/>
                </a:ext>
              </a:extLst>
            </xdr:cNvPr>
            <xdr:cNvSpPr/>
          </xdr:nvSpPr>
          <xdr:spPr>
            <a:xfrm>
              <a:off x="4082673" y="1788968"/>
              <a:ext cx="1381841" cy="575476"/>
            </a:xfrm>
            <a:prstGeom prst="roundRect">
              <a:avLst>
                <a:gd name="adj" fmla="val 87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4800" b="1">
                <a:solidFill>
                  <a:srgbClr val="009E3B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2" name="Retângulo: Cantos Superiores Arredondados 61">
              <a:extLst>
                <a:ext uri="{FF2B5EF4-FFF2-40B4-BE49-F238E27FC236}">
                  <a16:creationId xmlns:a16="http://schemas.microsoft.com/office/drawing/2014/main" id="{521521C7-3E9F-4FEB-9A0E-106F61239C84}"/>
                </a:ext>
              </a:extLst>
            </xdr:cNvPr>
            <xdr:cNvSpPr/>
          </xdr:nvSpPr>
          <xdr:spPr>
            <a:xfrm>
              <a:off x="2034266" y="902608"/>
              <a:ext cx="5009891" cy="353785"/>
            </a:xfrm>
            <a:prstGeom prst="round2SameRect">
              <a:avLst/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800" b="1">
                  <a:effectLst/>
                  <a:latin typeface="Segoe UI" panose="020B0502040204020203" pitchFamily="34" charset="0"/>
                  <a:cs typeface="Segoe UI" panose="020B0502040204020203" pitchFamily="34" charset="0"/>
                </a:rPr>
                <a:t>MINECRAFT</a:t>
              </a:r>
              <a:r>
                <a:rPr lang="pt-BR" sz="1800" b="1" baseline="0">
                  <a:effectLst/>
                  <a:latin typeface="Segoe UI" panose="020B0502040204020203" pitchFamily="34" charset="0"/>
                  <a:cs typeface="Segoe UI" panose="020B0502040204020203" pitchFamily="34" charset="0"/>
                </a:rPr>
                <a:t> SEASON PASS TOTAL SALES</a:t>
              </a:r>
              <a:endParaRPr lang="pt-BR" sz="1800" b="1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18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C41">
        <xdr:nvSpPr>
          <xdr:cNvPr id="63" name="Retângulo: Cantos Arredondados 62">
            <a:extLst>
              <a:ext uri="{FF2B5EF4-FFF2-40B4-BE49-F238E27FC236}">
                <a16:creationId xmlns:a16="http://schemas.microsoft.com/office/drawing/2014/main" id="{E4AD083F-C91D-49ED-8DE2-FB2858E40C74}"/>
              </a:ext>
            </a:extLst>
          </xdr:cNvPr>
          <xdr:cNvSpPr/>
        </xdr:nvSpPr>
        <xdr:spPr>
          <a:xfrm>
            <a:off x="3716507" y="3685215"/>
            <a:ext cx="3302028" cy="902227"/>
          </a:xfrm>
          <a:prstGeom prst="roundRect">
            <a:avLst>
              <a:gd name="adj" fmla="val 8702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78AB816-FB20-4625-ABA5-4BD690376AE3}" type="TxLink">
              <a:rPr lang="en-US" sz="4000" b="1" i="0" u="none" strike="noStrike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R$ 3.880,00 </a:t>
            </a:fld>
            <a:endParaRPr lang="en-US" sz="19900" b="1">
              <a:solidFill>
                <a:srgbClr val="0054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64" name="Agrupar 63">
            <a:extLst>
              <a:ext uri="{FF2B5EF4-FFF2-40B4-BE49-F238E27FC236}">
                <a16:creationId xmlns:a16="http://schemas.microsoft.com/office/drawing/2014/main" id="{1B7C8857-5908-4B0B-A3A8-282F3EB9C0A3}"/>
              </a:ext>
            </a:extLst>
          </xdr:cNvPr>
          <xdr:cNvGrpSpPr/>
        </xdr:nvGrpSpPr>
        <xdr:grpSpPr>
          <a:xfrm>
            <a:off x="2482748" y="3786999"/>
            <a:ext cx="1365022" cy="689727"/>
            <a:chOff x="3606598" y="5506975"/>
            <a:chExt cx="1277755" cy="612331"/>
          </a:xfrm>
        </xdr:grpSpPr>
        <xdr:pic>
          <xdr:nvPicPr>
            <xdr:cNvPr id="65" name="Imagem 64">
              <a:extLst>
                <a:ext uri="{FF2B5EF4-FFF2-40B4-BE49-F238E27FC236}">
                  <a16:creationId xmlns:a16="http://schemas.microsoft.com/office/drawing/2014/main" id="{377AE3EF-917D-4681-A45E-0B8AB0774E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58982" y="5506975"/>
              <a:ext cx="458083" cy="502698"/>
            </a:xfrm>
            <a:prstGeom prst="rect">
              <a:avLst/>
            </a:prstGeom>
          </xdr:spPr>
        </xdr:pic>
        <xdr:pic>
          <xdr:nvPicPr>
            <xdr:cNvPr id="66" name="Gráfico 65">
              <a:extLst>
                <a:ext uri="{FF2B5EF4-FFF2-40B4-BE49-F238E27FC236}">
                  <a16:creationId xmlns:a16="http://schemas.microsoft.com/office/drawing/2014/main" id="{630ADA09-0034-412A-BBC8-3051EC3B0E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3606598" y="5907198"/>
              <a:ext cx="1277755" cy="21210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574608</xdr:colOff>
      <xdr:row>17</xdr:row>
      <xdr:rowOff>4104</xdr:rowOff>
    </xdr:from>
    <xdr:to>
      <xdr:col>18</xdr:col>
      <xdr:colOff>253186</xdr:colOff>
      <xdr:row>26</xdr:row>
      <xdr:rowOff>61383</xdr:rowOff>
    </xdr:to>
    <xdr:grpSp>
      <xdr:nvGrpSpPr>
        <xdr:cNvPr id="85" name="Agrupar 84">
          <a:extLst>
            <a:ext uri="{FF2B5EF4-FFF2-40B4-BE49-F238E27FC236}">
              <a16:creationId xmlns:a16="http://schemas.microsoft.com/office/drawing/2014/main" id="{88670C8B-0876-432E-9D09-2D372E4CFC5C}"/>
            </a:ext>
          </a:extLst>
        </xdr:cNvPr>
        <xdr:cNvGrpSpPr/>
      </xdr:nvGrpSpPr>
      <xdr:grpSpPr>
        <a:xfrm>
          <a:off x="7832658" y="3290229"/>
          <a:ext cx="4984003" cy="1686054"/>
          <a:chOff x="7939549" y="3212970"/>
          <a:chExt cx="4967070" cy="1628904"/>
        </a:xfrm>
      </xdr:grpSpPr>
      <xdr:grpSp>
        <xdr:nvGrpSpPr>
          <xdr:cNvPr id="67" name="Agrupar 66">
            <a:extLst>
              <a:ext uri="{FF2B5EF4-FFF2-40B4-BE49-F238E27FC236}">
                <a16:creationId xmlns:a16="http://schemas.microsoft.com/office/drawing/2014/main" id="{4E57BC50-00A4-4DDB-A4F2-8F6001129CBC}"/>
              </a:ext>
            </a:extLst>
          </xdr:cNvPr>
          <xdr:cNvGrpSpPr/>
        </xdr:nvGrpSpPr>
        <xdr:grpSpPr>
          <a:xfrm>
            <a:off x="7939549" y="3212970"/>
            <a:ext cx="4967070" cy="1556768"/>
            <a:chOff x="2032747" y="902607"/>
            <a:chExt cx="5011410" cy="1641172"/>
          </a:xfrm>
        </xdr:grpSpPr>
        <xdr:sp macro="" textlink="">
          <xdr:nvSpPr>
            <xdr:cNvPr id="68" name="Retângulo: Cantos Arredondados 67">
              <a:extLst>
                <a:ext uri="{FF2B5EF4-FFF2-40B4-BE49-F238E27FC236}">
                  <a16:creationId xmlns:a16="http://schemas.microsoft.com/office/drawing/2014/main" id="{AF7A069D-7C63-4159-B48D-2614D547DADD}"/>
                </a:ext>
              </a:extLst>
            </xdr:cNvPr>
            <xdr:cNvSpPr/>
          </xdr:nvSpPr>
          <xdr:spPr>
            <a:xfrm>
              <a:off x="2032747" y="902607"/>
              <a:ext cx="4998861" cy="1641172"/>
            </a:xfrm>
            <a:prstGeom prst="roundRect">
              <a:avLst>
                <a:gd name="adj" fmla="val 522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4">
          <xdr:nvSpPr>
            <xdr:cNvPr id="69" name="Retângulo: Cantos Arredondados 68">
              <a:extLst>
                <a:ext uri="{FF2B5EF4-FFF2-40B4-BE49-F238E27FC236}">
                  <a16:creationId xmlns:a16="http://schemas.microsoft.com/office/drawing/2014/main" id="{1A1DA884-2486-47C1-90D7-99B391C0741B}"/>
                </a:ext>
              </a:extLst>
            </xdr:cNvPr>
            <xdr:cNvSpPr/>
          </xdr:nvSpPr>
          <xdr:spPr>
            <a:xfrm>
              <a:off x="4082673" y="1788968"/>
              <a:ext cx="1381841" cy="575476"/>
            </a:xfrm>
            <a:prstGeom prst="roundRect">
              <a:avLst>
                <a:gd name="adj" fmla="val 870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4800" b="1">
                <a:solidFill>
                  <a:srgbClr val="009E3B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70" name="Retângulo: Cantos Superiores Arredondados 69">
              <a:extLst>
                <a:ext uri="{FF2B5EF4-FFF2-40B4-BE49-F238E27FC236}">
                  <a16:creationId xmlns:a16="http://schemas.microsoft.com/office/drawing/2014/main" id="{1D7E4ED1-EDA2-4E20-8D97-37AA43E6C281}"/>
                </a:ext>
              </a:extLst>
            </xdr:cNvPr>
            <xdr:cNvSpPr/>
          </xdr:nvSpPr>
          <xdr:spPr>
            <a:xfrm>
              <a:off x="2034266" y="902608"/>
              <a:ext cx="5009891" cy="353785"/>
            </a:xfrm>
            <a:prstGeom prst="round2SameRect">
              <a:avLst/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800" b="1">
                  <a:effectLst/>
                  <a:latin typeface="Segoe UI" panose="020B0502040204020203" pitchFamily="34" charset="0"/>
                  <a:cs typeface="Segoe UI" panose="020B0502040204020203" pitchFamily="34" charset="0"/>
                </a:rPr>
                <a:t>EA PLAY</a:t>
              </a:r>
              <a:r>
                <a:rPr lang="pt-BR" sz="1800" b="1" baseline="0">
                  <a:effectLst/>
                  <a:latin typeface="Segoe UI" panose="020B0502040204020203" pitchFamily="34" charset="0"/>
                  <a:cs typeface="Segoe UI" panose="020B0502040204020203" pitchFamily="34" charset="0"/>
                </a:rPr>
                <a:t> SEASON PASS TOTAL SALES</a:t>
              </a:r>
              <a:endParaRPr lang="pt-BR" sz="1800" b="1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18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D41">
        <xdr:nvSpPr>
          <xdr:cNvPr id="76" name="Retângulo: Cantos Arredondados 75">
            <a:extLst>
              <a:ext uri="{FF2B5EF4-FFF2-40B4-BE49-F238E27FC236}">
                <a16:creationId xmlns:a16="http://schemas.microsoft.com/office/drawing/2014/main" id="{D051F050-5997-47F4-A975-5B66420129F3}"/>
              </a:ext>
            </a:extLst>
          </xdr:cNvPr>
          <xdr:cNvSpPr/>
        </xdr:nvSpPr>
        <xdr:spPr>
          <a:xfrm>
            <a:off x="9540876" y="3625845"/>
            <a:ext cx="3225800" cy="930275"/>
          </a:xfrm>
          <a:prstGeom prst="roundRect">
            <a:avLst>
              <a:gd name="adj" fmla="val 8702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86E993-79C4-4F7A-9AA3-B667AA9BE915}" type="TxLink">
              <a:rPr lang="en-US" sz="4000" b="1" i="0" u="none" strike="noStrike">
                <a:solidFill>
                  <a:srgbClr val="0054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R$ 2.940,00 </a:t>
            </a:fld>
            <a:endParaRPr lang="en-US" sz="4000" b="1">
              <a:solidFill>
                <a:srgbClr val="0054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77" name="Imagem 76">
            <a:extLst>
              <a:ext uri="{FF2B5EF4-FFF2-40B4-BE49-F238E27FC236}">
                <a16:creationId xmlns:a16="http://schemas.microsoft.com/office/drawing/2014/main" id="{119D8AA8-ED9B-46E2-8E47-EA4B9DFE8A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08950" y="3517899"/>
            <a:ext cx="1479935" cy="1323975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219226</xdr:colOff>
      <xdr:row>28</xdr:row>
      <xdr:rowOff>162681</xdr:rowOff>
    </xdr:from>
    <xdr:to>
      <xdr:col>18</xdr:col>
      <xdr:colOff>213783</xdr:colOff>
      <xdr:row>50</xdr:row>
      <xdr:rowOff>120802</xdr:rowOff>
    </xdr:to>
    <xdr:grpSp>
      <xdr:nvGrpSpPr>
        <xdr:cNvPr id="84" name="Agrupar 83">
          <a:extLst>
            <a:ext uri="{FF2B5EF4-FFF2-40B4-BE49-F238E27FC236}">
              <a16:creationId xmlns:a16="http://schemas.microsoft.com/office/drawing/2014/main" id="{91719013-2723-44E3-906B-A2DFDEEF12E6}"/>
            </a:ext>
          </a:extLst>
        </xdr:cNvPr>
        <xdr:cNvGrpSpPr/>
      </xdr:nvGrpSpPr>
      <xdr:grpSpPr>
        <a:xfrm>
          <a:off x="8667901" y="5439531"/>
          <a:ext cx="4109357" cy="3939571"/>
          <a:chOff x="14832693" y="5072289"/>
          <a:chExt cx="4090307" cy="3800929"/>
        </a:xfrm>
      </xdr:grpSpPr>
      <xdr:grpSp>
        <xdr:nvGrpSpPr>
          <xdr:cNvPr id="79" name="Agrupar 78">
            <a:extLst>
              <a:ext uri="{FF2B5EF4-FFF2-40B4-BE49-F238E27FC236}">
                <a16:creationId xmlns:a16="http://schemas.microsoft.com/office/drawing/2014/main" id="{F51C3076-6B92-4C4E-BE42-34168799494F}"/>
              </a:ext>
            </a:extLst>
          </xdr:cNvPr>
          <xdr:cNvGrpSpPr/>
        </xdr:nvGrpSpPr>
        <xdr:grpSpPr>
          <a:xfrm>
            <a:off x="14832693" y="5072289"/>
            <a:ext cx="4090307" cy="3800929"/>
            <a:chOff x="2544537" y="5157107"/>
            <a:chExt cx="9172574" cy="3850823"/>
          </a:xfrm>
        </xdr:grpSpPr>
        <xdr:sp macro="" textlink="">
          <xdr:nvSpPr>
            <xdr:cNvPr id="80" name="Retângulo: Cantos Arredondados 79">
              <a:extLst>
                <a:ext uri="{FF2B5EF4-FFF2-40B4-BE49-F238E27FC236}">
                  <a16:creationId xmlns:a16="http://schemas.microsoft.com/office/drawing/2014/main" id="{88BE13B1-88B0-41E4-8DA2-7B65670F5B31}"/>
                </a:ext>
              </a:extLst>
            </xdr:cNvPr>
            <xdr:cNvSpPr/>
          </xdr:nvSpPr>
          <xdr:spPr>
            <a:xfrm>
              <a:off x="2544537" y="5157108"/>
              <a:ext cx="9157607" cy="3850822"/>
            </a:xfrm>
            <a:prstGeom prst="roundRect">
              <a:avLst>
                <a:gd name="adj" fmla="val 394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82" name="Retângulo: Cantos Superiores Arredondados 81">
              <a:extLst>
                <a:ext uri="{FF2B5EF4-FFF2-40B4-BE49-F238E27FC236}">
                  <a16:creationId xmlns:a16="http://schemas.microsoft.com/office/drawing/2014/main" id="{A0F6D42B-262E-416E-9318-858C61E16113}"/>
                </a:ext>
              </a:extLst>
            </xdr:cNvPr>
            <xdr:cNvSpPr/>
          </xdr:nvSpPr>
          <xdr:spPr>
            <a:xfrm>
              <a:off x="2545896" y="5157107"/>
              <a:ext cx="9171215" cy="498022"/>
            </a:xfrm>
            <a:prstGeom prst="round2SameRect">
              <a:avLst/>
            </a:prstGeom>
            <a:solidFill>
              <a:srgbClr val="009E3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COUPON</a:t>
              </a:r>
              <a:r>
                <a:rPr lang="pt-BR" sz="20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DISCOUNT</a:t>
              </a:r>
              <a:r>
                <a:rPr lang="pt-BR" sz="20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BY PLAN</a:t>
              </a:r>
              <a:endParaRPr lang="pt-BR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78" name="Gráfico 77">
            <a:extLst>
              <a:ext uri="{FF2B5EF4-FFF2-40B4-BE49-F238E27FC236}">
                <a16:creationId xmlns:a16="http://schemas.microsoft.com/office/drawing/2014/main" id="{43A62B5A-152E-48DD-9860-092684B96A17}"/>
              </a:ext>
            </a:extLst>
          </xdr:cNvPr>
          <xdr:cNvGraphicFramePr>
            <a:graphicFrameLocks/>
          </xdr:cNvGraphicFramePr>
        </xdr:nvGraphicFramePr>
        <xdr:xfrm>
          <a:off x="14858999" y="5556250"/>
          <a:ext cx="3984625" cy="3270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 editAs="absolute">
    <xdr:from>
      <xdr:col>1</xdr:col>
      <xdr:colOff>234949</xdr:colOff>
      <xdr:row>2</xdr:row>
      <xdr:rowOff>161925</xdr:rowOff>
    </xdr:from>
    <xdr:to>
      <xdr:col>10</xdr:col>
      <xdr:colOff>9524</xdr:colOff>
      <xdr:row>5</xdr:row>
      <xdr:rowOff>10325</xdr:rowOff>
    </xdr:to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332D82EF-F171-4DD3-BCA4-96E8F71D23A6}"/>
            </a:ext>
          </a:extLst>
        </xdr:cNvPr>
        <xdr:cNvSpPr/>
      </xdr:nvSpPr>
      <xdr:spPr>
        <a:xfrm>
          <a:off x="1968499" y="695325"/>
          <a:ext cx="5299075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0" kern="1200">
              <a:solidFill>
                <a:schemeClr val="bg1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01/01/2024 - 31/12/2024 | Update date: 20/01/2026 10:00:00</a:t>
          </a:r>
        </a:p>
      </xdr:txBody>
    </xdr:sp>
    <xdr:clientData/>
  </xdr:twoCellAnchor>
  <xdr:twoCellAnchor>
    <xdr:from>
      <xdr:col>0</xdr:col>
      <xdr:colOff>338668</xdr:colOff>
      <xdr:row>0</xdr:row>
      <xdr:rowOff>84667</xdr:rowOff>
    </xdr:from>
    <xdr:to>
      <xdr:col>0</xdr:col>
      <xdr:colOff>1058334</xdr:colOff>
      <xdr:row>3</xdr:row>
      <xdr:rowOff>52917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CF474D8A-BB15-42E1-A421-52C555CDAF91}"/>
            </a:ext>
          </a:extLst>
        </xdr:cNvPr>
        <xdr:cNvSpPr/>
      </xdr:nvSpPr>
      <xdr:spPr>
        <a:xfrm>
          <a:off x="338668" y="84667"/>
          <a:ext cx="719666" cy="677333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0</xdr:colOff>
      <xdr:row>34</xdr:row>
      <xdr:rowOff>104776</xdr:rowOff>
    </xdr:from>
    <xdr:to>
      <xdr:col>0</xdr:col>
      <xdr:colOff>1703917</xdr:colOff>
      <xdr:row>43</xdr:row>
      <xdr:rowOff>57151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0" name="Plan">
              <a:extLst>
                <a:ext uri="{FF2B5EF4-FFF2-40B4-BE49-F238E27FC236}">
                  <a16:creationId xmlns:a16="http://schemas.microsoft.com/office/drawing/2014/main" id="{E52CDCF6-375A-4827-9F85-0102F7703F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467476"/>
              <a:ext cx="1703917" cy="158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Guedes" refreshedDate="46043.474584953707" createdVersion="7" refreshedVersion="7" minRefreshableVersion="3" recordCount="295" xr:uid="{CF58D453-709C-49F3-A29C-EB257ED9EC2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3304281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x v="0"/>
  </r>
  <r>
    <n v="3232"/>
    <x v="1"/>
    <x v="1"/>
    <d v="2024-01-15T00:00:00"/>
    <x v="1"/>
    <n v="5"/>
    <x v="1"/>
    <x v="1"/>
    <x v="1"/>
    <x v="1"/>
    <n v="0"/>
    <n v="0"/>
    <x v="1"/>
  </r>
  <r>
    <n v="3233"/>
    <x v="2"/>
    <x v="2"/>
    <d v="2024-02-10T00:00:00"/>
    <x v="0"/>
    <n v="10"/>
    <x v="2"/>
    <x v="1"/>
    <x v="1"/>
    <x v="0"/>
    <n v="20"/>
    <n v="10"/>
    <x v="2"/>
  </r>
  <r>
    <n v="3234"/>
    <x v="3"/>
    <x v="0"/>
    <d v="2024-02-20T00:00:00"/>
    <x v="1"/>
    <n v="15"/>
    <x v="0"/>
    <x v="0"/>
    <x v="0"/>
    <x v="0"/>
    <n v="20"/>
    <n v="3"/>
    <x v="3"/>
  </r>
  <r>
    <n v="3235"/>
    <x v="4"/>
    <x v="1"/>
    <d v="2024-03-05T00:00:00"/>
    <x v="0"/>
    <n v="5"/>
    <x v="0"/>
    <x v="1"/>
    <x v="1"/>
    <x v="1"/>
    <n v="0"/>
    <n v="1"/>
    <x v="4"/>
  </r>
  <r>
    <n v="3236"/>
    <x v="5"/>
    <x v="2"/>
    <d v="2024-03-02T00:00:00"/>
    <x v="1"/>
    <n v="10"/>
    <x v="0"/>
    <x v="1"/>
    <x v="1"/>
    <x v="0"/>
    <n v="20"/>
    <n v="2"/>
    <x v="5"/>
  </r>
  <r>
    <n v="3237"/>
    <x v="6"/>
    <x v="0"/>
    <d v="2024-03-03T00:00:00"/>
    <x v="0"/>
    <n v="15"/>
    <x v="2"/>
    <x v="0"/>
    <x v="0"/>
    <x v="0"/>
    <n v="20"/>
    <n v="10"/>
    <x v="6"/>
  </r>
  <r>
    <n v="3238"/>
    <x v="7"/>
    <x v="1"/>
    <d v="2024-03-04T00:00:00"/>
    <x v="0"/>
    <n v="5"/>
    <x v="1"/>
    <x v="1"/>
    <x v="1"/>
    <x v="1"/>
    <n v="0"/>
    <n v="0"/>
    <x v="1"/>
  </r>
  <r>
    <n v="3239"/>
    <x v="8"/>
    <x v="0"/>
    <d v="2024-03-05T00:00:00"/>
    <x v="1"/>
    <n v="15"/>
    <x v="0"/>
    <x v="0"/>
    <x v="0"/>
    <x v="0"/>
    <n v="20"/>
    <n v="5"/>
    <x v="0"/>
  </r>
  <r>
    <n v="3240"/>
    <x v="9"/>
    <x v="2"/>
    <d v="2024-03-06T00:00:00"/>
    <x v="0"/>
    <n v="10"/>
    <x v="2"/>
    <x v="1"/>
    <x v="1"/>
    <x v="0"/>
    <n v="20"/>
    <n v="15"/>
    <x v="7"/>
  </r>
  <r>
    <n v="3241"/>
    <x v="10"/>
    <x v="1"/>
    <d v="2024-03-07T00:00:00"/>
    <x v="1"/>
    <n v="5"/>
    <x v="0"/>
    <x v="1"/>
    <x v="1"/>
    <x v="1"/>
    <n v="0"/>
    <n v="1"/>
    <x v="4"/>
  </r>
  <r>
    <n v="3242"/>
    <x v="11"/>
    <x v="0"/>
    <d v="2024-03-08T00:00:00"/>
    <x v="0"/>
    <n v="15"/>
    <x v="1"/>
    <x v="0"/>
    <x v="0"/>
    <x v="0"/>
    <n v="20"/>
    <n v="20"/>
    <x v="8"/>
  </r>
  <r>
    <n v="3243"/>
    <x v="12"/>
    <x v="2"/>
    <d v="2024-03-09T00:00:00"/>
    <x v="1"/>
    <n v="10"/>
    <x v="0"/>
    <x v="1"/>
    <x v="1"/>
    <x v="0"/>
    <n v="20"/>
    <n v="10"/>
    <x v="2"/>
  </r>
  <r>
    <n v="3244"/>
    <x v="13"/>
    <x v="1"/>
    <d v="2024-03-10T00:00:00"/>
    <x v="0"/>
    <n v="5"/>
    <x v="2"/>
    <x v="1"/>
    <x v="1"/>
    <x v="1"/>
    <n v="0"/>
    <n v="0"/>
    <x v="1"/>
  </r>
  <r>
    <n v="3245"/>
    <x v="14"/>
    <x v="0"/>
    <d v="2024-03-11T00:00:00"/>
    <x v="1"/>
    <n v="15"/>
    <x v="0"/>
    <x v="0"/>
    <x v="0"/>
    <x v="0"/>
    <n v="20"/>
    <n v="8"/>
    <x v="9"/>
  </r>
  <r>
    <n v="3246"/>
    <x v="15"/>
    <x v="2"/>
    <d v="2024-03-12T00:00:00"/>
    <x v="0"/>
    <n v="10"/>
    <x v="1"/>
    <x v="1"/>
    <x v="1"/>
    <x v="0"/>
    <n v="20"/>
    <n v="12"/>
    <x v="10"/>
  </r>
  <r>
    <n v="3247"/>
    <x v="16"/>
    <x v="1"/>
    <d v="2024-03-13T00:00:00"/>
    <x v="1"/>
    <n v="5"/>
    <x v="0"/>
    <x v="1"/>
    <x v="1"/>
    <x v="1"/>
    <n v="0"/>
    <n v="2"/>
    <x v="11"/>
  </r>
  <r>
    <n v="3248"/>
    <x v="17"/>
    <x v="0"/>
    <d v="2024-03-14T00:00:00"/>
    <x v="0"/>
    <n v="15"/>
    <x v="2"/>
    <x v="0"/>
    <x v="0"/>
    <x v="0"/>
    <n v="20"/>
    <n v="7"/>
    <x v="12"/>
  </r>
  <r>
    <n v="3249"/>
    <x v="18"/>
    <x v="2"/>
    <d v="2024-03-15T00:00:00"/>
    <x v="1"/>
    <n v="10"/>
    <x v="0"/>
    <x v="1"/>
    <x v="1"/>
    <x v="0"/>
    <n v="20"/>
    <n v="5"/>
    <x v="13"/>
  </r>
  <r>
    <n v="3250"/>
    <x v="19"/>
    <x v="1"/>
    <d v="2024-03-16T00:00:00"/>
    <x v="0"/>
    <n v="5"/>
    <x v="1"/>
    <x v="1"/>
    <x v="1"/>
    <x v="1"/>
    <n v="0"/>
    <n v="0"/>
    <x v="1"/>
  </r>
  <r>
    <n v="3251"/>
    <x v="20"/>
    <x v="0"/>
    <d v="2024-03-17T00:00:00"/>
    <x v="1"/>
    <n v="15"/>
    <x v="0"/>
    <x v="0"/>
    <x v="0"/>
    <x v="0"/>
    <n v="20"/>
    <n v="3"/>
    <x v="3"/>
  </r>
  <r>
    <n v="3252"/>
    <x v="21"/>
    <x v="2"/>
    <d v="2024-03-18T00:00:00"/>
    <x v="0"/>
    <n v="10"/>
    <x v="2"/>
    <x v="1"/>
    <x v="1"/>
    <x v="0"/>
    <n v="20"/>
    <n v="15"/>
    <x v="7"/>
  </r>
  <r>
    <n v="3253"/>
    <x v="22"/>
    <x v="1"/>
    <d v="2024-03-19T00:00:00"/>
    <x v="1"/>
    <n v="5"/>
    <x v="0"/>
    <x v="1"/>
    <x v="1"/>
    <x v="1"/>
    <n v="0"/>
    <n v="1"/>
    <x v="4"/>
  </r>
  <r>
    <n v="3254"/>
    <x v="23"/>
    <x v="0"/>
    <d v="2024-03-20T00:00:00"/>
    <x v="0"/>
    <n v="15"/>
    <x v="1"/>
    <x v="0"/>
    <x v="0"/>
    <x v="0"/>
    <n v="20"/>
    <n v="20"/>
    <x v="8"/>
  </r>
  <r>
    <n v="3255"/>
    <x v="24"/>
    <x v="2"/>
    <d v="2024-03-21T00:00:00"/>
    <x v="1"/>
    <n v="10"/>
    <x v="0"/>
    <x v="1"/>
    <x v="1"/>
    <x v="0"/>
    <n v="20"/>
    <n v="10"/>
    <x v="2"/>
  </r>
  <r>
    <n v="3256"/>
    <x v="25"/>
    <x v="1"/>
    <d v="2024-03-22T00:00:00"/>
    <x v="0"/>
    <n v="5"/>
    <x v="2"/>
    <x v="1"/>
    <x v="1"/>
    <x v="1"/>
    <n v="0"/>
    <n v="0"/>
    <x v="1"/>
  </r>
  <r>
    <n v="3257"/>
    <x v="26"/>
    <x v="0"/>
    <d v="2024-03-23T00:00:00"/>
    <x v="1"/>
    <n v="15"/>
    <x v="0"/>
    <x v="0"/>
    <x v="0"/>
    <x v="0"/>
    <n v="20"/>
    <n v="5"/>
    <x v="0"/>
  </r>
  <r>
    <n v="3258"/>
    <x v="27"/>
    <x v="2"/>
    <d v="2024-03-24T00:00:00"/>
    <x v="0"/>
    <n v="10"/>
    <x v="1"/>
    <x v="1"/>
    <x v="1"/>
    <x v="0"/>
    <n v="20"/>
    <n v="15"/>
    <x v="7"/>
  </r>
  <r>
    <n v="3259"/>
    <x v="28"/>
    <x v="1"/>
    <d v="2024-03-25T00:00:00"/>
    <x v="1"/>
    <n v="5"/>
    <x v="0"/>
    <x v="1"/>
    <x v="1"/>
    <x v="1"/>
    <n v="0"/>
    <n v="1"/>
    <x v="4"/>
  </r>
  <r>
    <n v="3260"/>
    <x v="29"/>
    <x v="0"/>
    <d v="2024-03-26T00:00:00"/>
    <x v="0"/>
    <n v="15"/>
    <x v="2"/>
    <x v="0"/>
    <x v="0"/>
    <x v="0"/>
    <n v="20"/>
    <n v="7"/>
    <x v="12"/>
  </r>
  <r>
    <n v="3261"/>
    <x v="30"/>
    <x v="2"/>
    <d v="2024-03-27T00:00:00"/>
    <x v="1"/>
    <n v="10"/>
    <x v="0"/>
    <x v="1"/>
    <x v="1"/>
    <x v="0"/>
    <n v="20"/>
    <n v="10"/>
    <x v="2"/>
  </r>
  <r>
    <n v="3262"/>
    <x v="31"/>
    <x v="1"/>
    <d v="2024-03-28T00:00:00"/>
    <x v="0"/>
    <n v="5"/>
    <x v="1"/>
    <x v="1"/>
    <x v="1"/>
    <x v="1"/>
    <n v="0"/>
    <n v="0"/>
    <x v="1"/>
  </r>
  <r>
    <n v="3263"/>
    <x v="32"/>
    <x v="0"/>
    <d v="2024-03-29T00:00:00"/>
    <x v="1"/>
    <n v="15"/>
    <x v="0"/>
    <x v="0"/>
    <x v="0"/>
    <x v="0"/>
    <n v="20"/>
    <n v="3"/>
    <x v="3"/>
  </r>
  <r>
    <n v="3264"/>
    <x v="33"/>
    <x v="2"/>
    <d v="2024-03-30T00:00:00"/>
    <x v="0"/>
    <n v="10"/>
    <x v="2"/>
    <x v="1"/>
    <x v="1"/>
    <x v="0"/>
    <n v="20"/>
    <n v="15"/>
    <x v="7"/>
  </r>
  <r>
    <n v="3265"/>
    <x v="34"/>
    <x v="1"/>
    <d v="2024-03-31T00:00:00"/>
    <x v="1"/>
    <n v="5"/>
    <x v="0"/>
    <x v="1"/>
    <x v="1"/>
    <x v="1"/>
    <n v="0"/>
    <n v="1"/>
    <x v="4"/>
  </r>
  <r>
    <n v="3266"/>
    <x v="35"/>
    <x v="1"/>
    <d v="2024-04-01T00:00:00"/>
    <x v="0"/>
    <n v="5"/>
    <x v="0"/>
    <x v="1"/>
    <x v="1"/>
    <x v="1"/>
    <n v="0"/>
    <n v="0"/>
    <x v="1"/>
  </r>
  <r>
    <n v="3267"/>
    <x v="36"/>
    <x v="0"/>
    <d v="2024-04-02T00:00:00"/>
    <x v="1"/>
    <n v="15"/>
    <x v="2"/>
    <x v="0"/>
    <x v="0"/>
    <x v="0"/>
    <n v="20"/>
    <n v="7"/>
    <x v="12"/>
  </r>
  <r>
    <n v="3268"/>
    <x v="37"/>
    <x v="2"/>
    <d v="2024-04-03T00:00:00"/>
    <x v="0"/>
    <n v="10"/>
    <x v="1"/>
    <x v="1"/>
    <x v="1"/>
    <x v="0"/>
    <n v="20"/>
    <n v="10"/>
    <x v="2"/>
  </r>
  <r>
    <n v="3269"/>
    <x v="38"/>
    <x v="1"/>
    <d v="2024-04-04T00:00:00"/>
    <x v="1"/>
    <n v="5"/>
    <x v="2"/>
    <x v="1"/>
    <x v="1"/>
    <x v="1"/>
    <n v="0"/>
    <n v="1"/>
    <x v="4"/>
  </r>
  <r>
    <n v="3270"/>
    <x v="39"/>
    <x v="0"/>
    <d v="2024-04-05T00:00:00"/>
    <x v="0"/>
    <n v="15"/>
    <x v="0"/>
    <x v="0"/>
    <x v="0"/>
    <x v="0"/>
    <n v="20"/>
    <n v="15"/>
    <x v="14"/>
  </r>
  <r>
    <n v="3271"/>
    <x v="40"/>
    <x v="2"/>
    <d v="2024-04-06T00:00:00"/>
    <x v="1"/>
    <n v="10"/>
    <x v="0"/>
    <x v="1"/>
    <x v="1"/>
    <x v="0"/>
    <n v="20"/>
    <n v="5"/>
    <x v="13"/>
  </r>
  <r>
    <n v="3272"/>
    <x v="41"/>
    <x v="1"/>
    <d v="2024-04-07T00:00:00"/>
    <x v="0"/>
    <n v="5"/>
    <x v="1"/>
    <x v="1"/>
    <x v="1"/>
    <x v="1"/>
    <n v="0"/>
    <n v="0"/>
    <x v="1"/>
  </r>
  <r>
    <n v="3273"/>
    <x v="42"/>
    <x v="0"/>
    <d v="2024-04-08T00:00:00"/>
    <x v="1"/>
    <n v="15"/>
    <x v="2"/>
    <x v="0"/>
    <x v="0"/>
    <x v="0"/>
    <n v="20"/>
    <n v="20"/>
    <x v="8"/>
  </r>
  <r>
    <n v="3274"/>
    <x v="43"/>
    <x v="2"/>
    <d v="2024-04-09T00:00:00"/>
    <x v="0"/>
    <n v="10"/>
    <x v="2"/>
    <x v="1"/>
    <x v="1"/>
    <x v="0"/>
    <n v="20"/>
    <n v="12"/>
    <x v="10"/>
  </r>
  <r>
    <n v="3275"/>
    <x v="44"/>
    <x v="1"/>
    <d v="2024-04-10T00:00:00"/>
    <x v="1"/>
    <n v="5"/>
    <x v="0"/>
    <x v="1"/>
    <x v="1"/>
    <x v="1"/>
    <n v="0"/>
    <n v="2"/>
    <x v="11"/>
  </r>
  <r>
    <n v="3276"/>
    <x v="45"/>
    <x v="0"/>
    <d v="2024-04-11T00:00:00"/>
    <x v="0"/>
    <n v="15"/>
    <x v="1"/>
    <x v="0"/>
    <x v="0"/>
    <x v="0"/>
    <n v="20"/>
    <n v="5"/>
    <x v="0"/>
  </r>
  <r>
    <n v="3277"/>
    <x v="46"/>
    <x v="2"/>
    <d v="2024-04-12T00:00:00"/>
    <x v="1"/>
    <n v="10"/>
    <x v="0"/>
    <x v="1"/>
    <x v="1"/>
    <x v="0"/>
    <n v="20"/>
    <n v="10"/>
    <x v="2"/>
  </r>
  <r>
    <n v="3278"/>
    <x v="47"/>
    <x v="1"/>
    <d v="2024-04-13T00:00:00"/>
    <x v="0"/>
    <n v="5"/>
    <x v="2"/>
    <x v="1"/>
    <x v="1"/>
    <x v="1"/>
    <n v="0"/>
    <n v="0"/>
    <x v="1"/>
  </r>
  <r>
    <n v="3279"/>
    <x v="48"/>
    <x v="0"/>
    <d v="2024-04-14T00:00:00"/>
    <x v="1"/>
    <n v="15"/>
    <x v="0"/>
    <x v="0"/>
    <x v="0"/>
    <x v="0"/>
    <n v="20"/>
    <n v="3"/>
    <x v="3"/>
  </r>
  <r>
    <n v="3280"/>
    <x v="49"/>
    <x v="2"/>
    <d v="2024-04-15T00:00:00"/>
    <x v="0"/>
    <n v="10"/>
    <x v="1"/>
    <x v="1"/>
    <x v="1"/>
    <x v="0"/>
    <n v="20"/>
    <n v="15"/>
    <x v="7"/>
  </r>
  <r>
    <n v="3281"/>
    <x v="50"/>
    <x v="1"/>
    <d v="2024-04-16T00:00:00"/>
    <x v="1"/>
    <n v="5"/>
    <x v="0"/>
    <x v="1"/>
    <x v="1"/>
    <x v="1"/>
    <n v="0"/>
    <n v="1"/>
    <x v="4"/>
  </r>
  <r>
    <n v="3282"/>
    <x v="51"/>
    <x v="0"/>
    <d v="2024-04-17T00:00:00"/>
    <x v="0"/>
    <n v="15"/>
    <x v="2"/>
    <x v="0"/>
    <x v="0"/>
    <x v="0"/>
    <n v="20"/>
    <n v="7"/>
    <x v="12"/>
  </r>
  <r>
    <n v="3283"/>
    <x v="52"/>
    <x v="2"/>
    <d v="2024-04-18T00:00:00"/>
    <x v="1"/>
    <n v="10"/>
    <x v="0"/>
    <x v="1"/>
    <x v="1"/>
    <x v="0"/>
    <n v="20"/>
    <n v="10"/>
    <x v="2"/>
  </r>
  <r>
    <n v="3284"/>
    <x v="53"/>
    <x v="1"/>
    <d v="2024-04-19T00:00:00"/>
    <x v="0"/>
    <n v="5"/>
    <x v="1"/>
    <x v="1"/>
    <x v="1"/>
    <x v="1"/>
    <n v="0"/>
    <n v="0"/>
    <x v="1"/>
  </r>
  <r>
    <n v="3285"/>
    <x v="54"/>
    <x v="0"/>
    <d v="2024-04-20T00:00:00"/>
    <x v="1"/>
    <n v="15"/>
    <x v="0"/>
    <x v="0"/>
    <x v="0"/>
    <x v="0"/>
    <n v="20"/>
    <n v="20"/>
    <x v="8"/>
  </r>
  <r>
    <n v="3286"/>
    <x v="55"/>
    <x v="2"/>
    <d v="2024-04-21T00:00:00"/>
    <x v="0"/>
    <n v="10"/>
    <x v="2"/>
    <x v="1"/>
    <x v="1"/>
    <x v="0"/>
    <n v="20"/>
    <n v="15"/>
    <x v="7"/>
  </r>
  <r>
    <n v="3287"/>
    <x v="56"/>
    <x v="1"/>
    <d v="2024-04-22T00:00:00"/>
    <x v="1"/>
    <n v="5"/>
    <x v="0"/>
    <x v="1"/>
    <x v="1"/>
    <x v="1"/>
    <n v="0"/>
    <n v="1"/>
    <x v="4"/>
  </r>
  <r>
    <n v="3288"/>
    <x v="57"/>
    <x v="0"/>
    <d v="2024-04-23T00:00:00"/>
    <x v="0"/>
    <n v="15"/>
    <x v="1"/>
    <x v="0"/>
    <x v="0"/>
    <x v="0"/>
    <n v="20"/>
    <n v="3"/>
    <x v="3"/>
  </r>
  <r>
    <n v="3289"/>
    <x v="58"/>
    <x v="2"/>
    <d v="2024-04-24T00:00:00"/>
    <x v="1"/>
    <n v="10"/>
    <x v="0"/>
    <x v="1"/>
    <x v="1"/>
    <x v="0"/>
    <n v="20"/>
    <n v="10"/>
    <x v="2"/>
  </r>
  <r>
    <n v="3290"/>
    <x v="59"/>
    <x v="1"/>
    <d v="2024-04-25T00:00:00"/>
    <x v="0"/>
    <n v="5"/>
    <x v="2"/>
    <x v="1"/>
    <x v="1"/>
    <x v="1"/>
    <n v="0"/>
    <n v="0"/>
    <x v="1"/>
  </r>
  <r>
    <n v="3291"/>
    <x v="60"/>
    <x v="0"/>
    <d v="2024-04-26T00:00:00"/>
    <x v="1"/>
    <n v="15"/>
    <x v="0"/>
    <x v="0"/>
    <x v="0"/>
    <x v="0"/>
    <n v="20"/>
    <n v="5"/>
    <x v="0"/>
  </r>
  <r>
    <n v="3292"/>
    <x v="61"/>
    <x v="2"/>
    <d v="2024-04-27T00:00:00"/>
    <x v="0"/>
    <n v="10"/>
    <x v="1"/>
    <x v="1"/>
    <x v="1"/>
    <x v="0"/>
    <n v="20"/>
    <n v="15"/>
    <x v="7"/>
  </r>
  <r>
    <n v="3293"/>
    <x v="62"/>
    <x v="1"/>
    <d v="2024-04-28T00:00:00"/>
    <x v="1"/>
    <n v="5"/>
    <x v="0"/>
    <x v="1"/>
    <x v="1"/>
    <x v="1"/>
    <n v="0"/>
    <n v="1"/>
    <x v="4"/>
  </r>
  <r>
    <n v="3294"/>
    <x v="63"/>
    <x v="0"/>
    <d v="2024-04-29T00:00:00"/>
    <x v="0"/>
    <n v="15"/>
    <x v="2"/>
    <x v="0"/>
    <x v="0"/>
    <x v="0"/>
    <n v="20"/>
    <n v="20"/>
    <x v="8"/>
  </r>
  <r>
    <n v="3295"/>
    <x v="64"/>
    <x v="2"/>
    <d v="2024-04-30T00:00:00"/>
    <x v="1"/>
    <n v="10"/>
    <x v="0"/>
    <x v="1"/>
    <x v="1"/>
    <x v="0"/>
    <n v="20"/>
    <n v="5"/>
    <x v="13"/>
  </r>
  <r>
    <n v="3296"/>
    <x v="65"/>
    <x v="1"/>
    <d v="2024-05-01T00:00:00"/>
    <x v="1"/>
    <n v="5"/>
    <x v="0"/>
    <x v="1"/>
    <x v="1"/>
    <x v="1"/>
    <n v="0"/>
    <n v="0"/>
    <x v="1"/>
  </r>
  <r>
    <n v="3297"/>
    <x v="66"/>
    <x v="0"/>
    <d v="2024-05-02T00:00:00"/>
    <x v="0"/>
    <n v="15"/>
    <x v="2"/>
    <x v="0"/>
    <x v="0"/>
    <x v="0"/>
    <n v="20"/>
    <n v="7"/>
    <x v="12"/>
  </r>
  <r>
    <n v="3298"/>
    <x v="67"/>
    <x v="2"/>
    <d v="2024-05-03T00:00:00"/>
    <x v="1"/>
    <n v="10"/>
    <x v="1"/>
    <x v="1"/>
    <x v="1"/>
    <x v="0"/>
    <n v="20"/>
    <n v="10"/>
    <x v="2"/>
  </r>
  <r>
    <n v="3299"/>
    <x v="68"/>
    <x v="1"/>
    <d v="2024-05-04T00:00:00"/>
    <x v="0"/>
    <n v="5"/>
    <x v="2"/>
    <x v="1"/>
    <x v="1"/>
    <x v="1"/>
    <n v="0"/>
    <n v="1"/>
    <x v="4"/>
  </r>
  <r>
    <n v="3300"/>
    <x v="69"/>
    <x v="0"/>
    <d v="2024-05-05T00:00:00"/>
    <x v="1"/>
    <n v="15"/>
    <x v="0"/>
    <x v="0"/>
    <x v="0"/>
    <x v="0"/>
    <n v="20"/>
    <n v="15"/>
    <x v="14"/>
  </r>
  <r>
    <n v="3301"/>
    <x v="70"/>
    <x v="2"/>
    <d v="2024-05-06T00:00:00"/>
    <x v="0"/>
    <n v="10"/>
    <x v="0"/>
    <x v="1"/>
    <x v="1"/>
    <x v="0"/>
    <n v="20"/>
    <n v="5"/>
    <x v="13"/>
  </r>
  <r>
    <n v="3302"/>
    <x v="71"/>
    <x v="1"/>
    <d v="2024-05-07T00:00:00"/>
    <x v="1"/>
    <n v="5"/>
    <x v="1"/>
    <x v="1"/>
    <x v="1"/>
    <x v="1"/>
    <n v="0"/>
    <n v="0"/>
    <x v="1"/>
  </r>
  <r>
    <n v="3303"/>
    <x v="72"/>
    <x v="0"/>
    <d v="2024-05-08T00:00:00"/>
    <x v="0"/>
    <n v="15"/>
    <x v="2"/>
    <x v="0"/>
    <x v="0"/>
    <x v="0"/>
    <n v="20"/>
    <n v="20"/>
    <x v="8"/>
  </r>
  <r>
    <n v="3304"/>
    <x v="73"/>
    <x v="2"/>
    <d v="2024-05-09T00:00:00"/>
    <x v="1"/>
    <n v="10"/>
    <x v="2"/>
    <x v="1"/>
    <x v="1"/>
    <x v="0"/>
    <n v="20"/>
    <n v="12"/>
    <x v="10"/>
  </r>
  <r>
    <n v="3305"/>
    <x v="74"/>
    <x v="1"/>
    <d v="2024-05-10T00:00:00"/>
    <x v="0"/>
    <n v="5"/>
    <x v="0"/>
    <x v="1"/>
    <x v="1"/>
    <x v="1"/>
    <n v="0"/>
    <n v="2"/>
    <x v="11"/>
  </r>
  <r>
    <n v="3306"/>
    <x v="75"/>
    <x v="0"/>
    <d v="2024-05-11T00:00:00"/>
    <x v="1"/>
    <n v="15"/>
    <x v="1"/>
    <x v="0"/>
    <x v="0"/>
    <x v="0"/>
    <n v="20"/>
    <n v="5"/>
    <x v="0"/>
  </r>
  <r>
    <n v="3307"/>
    <x v="76"/>
    <x v="2"/>
    <d v="2024-05-12T00:00:00"/>
    <x v="0"/>
    <n v="10"/>
    <x v="0"/>
    <x v="1"/>
    <x v="1"/>
    <x v="0"/>
    <n v="20"/>
    <n v="10"/>
    <x v="2"/>
  </r>
  <r>
    <n v="3308"/>
    <x v="77"/>
    <x v="1"/>
    <d v="2024-05-13T00:00:00"/>
    <x v="1"/>
    <n v="5"/>
    <x v="2"/>
    <x v="1"/>
    <x v="1"/>
    <x v="1"/>
    <n v="0"/>
    <n v="0"/>
    <x v="1"/>
  </r>
  <r>
    <n v="3309"/>
    <x v="78"/>
    <x v="0"/>
    <d v="2024-05-14T00:00:00"/>
    <x v="0"/>
    <n v="15"/>
    <x v="0"/>
    <x v="0"/>
    <x v="0"/>
    <x v="0"/>
    <n v="20"/>
    <n v="3"/>
    <x v="3"/>
  </r>
  <r>
    <n v="3310"/>
    <x v="79"/>
    <x v="2"/>
    <d v="2024-05-15T00:00:00"/>
    <x v="1"/>
    <n v="10"/>
    <x v="1"/>
    <x v="1"/>
    <x v="1"/>
    <x v="0"/>
    <n v="20"/>
    <n v="15"/>
    <x v="7"/>
  </r>
  <r>
    <n v="3311"/>
    <x v="80"/>
    <x v="1"/>
    <d v="2024-05-16T00:00:00"/>
    <x v="0"/>
    <n v="5"/>
    <x v="0"/>
    <x v="1"/>
    <x v="1"/>
    <x v="1"/>
    <n v="0"/>
    <n v="1"/>
    <x v="4"/>
  </r>
  <r>
    <n v="3312"/>
    <x v="81"/>
    <x v="0"/>
    <d v="2024-05-17T00:00:00"/>
    <x v="1"/>
    <n v="15"/>
    <x v="2"/>
    <x v="0"/>
    <x v="0"/>
    <x v="0"/>
    <n v="20"/>
    <n v="7"/>
    <x v="12"/>
  </r>
  <r>
    <n v="3313"/>
    <x v="82"/>
    <x v="2"/>
    <d v="2024-05-18T00:00:00"/>
    <x v="0"/>
    <n v="10"/>
    <x v="0"/>
    <x v="1"/>
    <x v="1"/>
    <x v="0"/>
    <n v="20"/>
    <n v="10"/>
    <x v="2"/>
  </r>
  <r>
    <n v="3314"/>
    <x v="83"/>
    <x v="1"/>
    <d v="2024-05-19T00:00:00"/>
    <x v="1"/>
    <n v="5"/>
    <x v="1"/>
    <x v="1"/>
    <x v="1"/>
    <x v="1"/>
    <n v="0"/>
    <n v="0"/>
    <x v="1"/>
  </r>
  <r>
    <n v="3315"/>
    <x v="84"/>
    <x v="0"/>
    <d v="2024-05-20T00:00:00"/>
    <x v="0"/>
    <n v="15"/>
    <x v="0"/>
    <x v="0"/>
    <x v="0"/>
    <x v="0"/>
    <n v="20"/>
    <n v="20"/>
    <x v="8"/>
  </r>
  <r>
    <n v="3316"/>
    <x v="85"/>
    <x v="2"/>
    <d v="2024-05-21T00:00:00"/>
    <x v="1"/>
    <n v="10"/>
    <x v="2"/>
    <x v="1"/>
    <x v="1"/>
    <x v="0"/>
    <n v="20"/>
    <n v="15"/>
    <x v="7"/>
  </r>
  <r>
    <n v="3317"/>
    <x v="86"/>
    <x v="1"/>
    <d v="2024-05-22T00:00:00"/>
    <x v="0"/>
    <n v="5"/>
    <x v="0"/>
    <x v="1"/>
    <x v="1"/>
    <x v="1"/>
    <n v="0"/>
    <n v="1"/>
    <x v="4"/>
  </r>
  <r>
    <n v="3318"/>
    <x v="87"/>
    <x v="0"/>
    <d v="2024-05-23T00:00:00"/>
    <x v="1"/>
    <n v="15"/>
    <x v="1"/>
    <x v="0"/>
    <x v="0"/>
    <x v="0"/>
    <n v="20"/>
    <n v="3"/>
    <x v="3"/>
  </r>
  <r>
    <n v="3319"/>
    <x v="88"/>
    <x v="2"/>
    <d v="2024-05-24T00:00:00"/>
    <x v="0"/>
    <n v="10"/>
    <x v="0"/>
    <x v="1"/>
    <x v="1"/>
    <x v="0"/>
    <n v="20"/>
    <n v="10"/>
    <x v="2"/>
  </r>
  <r>
    <n v="3320"/>
    <x v="89"/>
    <x v="1"/>
    <d v="2024-05-25T00:00:00"/>
    <x v="1"/>
    <n v="5"/>
    <x v="2"/>
    <x v="1"/>
    <x v="1"/>
    <x v="1"/>
    <n v="0"/>
    <n v="0"/>
    <x v="1"/>
  </r>
  <r>
    <n v="3321"/>
    <x v="90"/>
    <x v="0"/>
    <d v="2024-05-26T00:00:00"/>
    <x v="0"/>
    <n v="15"/>
    <x v="0"/>
    <x v="0"/>
    <x v="0"/>
    <x v="0"/>
    <n v="20"/>
    <n v="5"/>
    <x v="0"/>
  </r>
  <r>
    <n v="3322"/>
    <x v="91"/>
    <x v="2"/>
    <d v="2024-05-27T00:00:00"/>
    <x v="1"/>
    <n v="10"/>
    <x v="1"/>
    <x v="1"/>
    <x v="1"/>
    <x v="0"/>
    <n v="20"/>
    <n v="15"/>
    <x v="7"/>
  </r>
  <r>
    <n v="3323"/>
    <x v="92"/>
    <x v="1"/>
    <d v="2024-05-28T00:00:00"/>
    <x v="0"/>
    <n v="5"/>
    <x v="0"/>
    <x v="1"/>
    <x v="1"/>
    <x v="1"/>
    <n v="0"/>
    <n v="1"/>
    <x v="4"/>
  </r>
  <r>
    <n v="3324"/>
    <x v="93"/>
    <x v="0"/>
    <d v="2024-05-29T00:00:00"/>
    <x v="1"/>
    <n v="15"/>
    <x v="2"/>
    <x v="0"/>
    <x v="0"/>
    <x v="0"/>
    <n v="20"/>
    <n v="20"/>
    <x v="8"/>
  </r>
  <r>
    <n v="3325"/>
    <x v="94"/>
    <x v="2"/>
    <d v="2024-05-30T00:00:00"/>
    <x v="0"/>
    <n v="10"/>
    <x v="2"/>
    <x v="1"/>
    <x v="1"/>
    <x v="0"/>
    <n v="20"/>
    <n v="15"/>
    <x v="7"/>
  </r>
  <r>
    <n v="3326"/>
    <x v="95"/>
    <x v="1"/>
    <d v="2024-05-31T00:00:00"/>
    <x v="1"/>
    <n v="5"/>
    <x v="1"/>
    <x v="1"/>
    <x v="1"/>
    <x v="1"/>
    <n v="0"/>
    <n v="0"/>
    <x v="1"/>
  </r>
  <r>
    <n v="3327"/>
    <x v="96"/>
    <x v="0"/>
    <d v="2024-06-01T00:00:00"/>
    <x v="0"/>
    <n v="15"/>
    <x v="0"/>
    <x v="0"/>
    <x v="0"/>
    <x v="0"/>
    <n v="20"/>
    <n v="7"/>
    <x v="12"/>
  </r>
  <r>
    <n v="3328"/>
    <x v="97"/>
    <x v="2"/>
    <d v="2024-06-02T00:00:00"/>
    <x v="1"/>
    <n v="10"/>
    <x v="1"/>
    <x v="1"/>
    <x v="1"/>
    <x v="0"/>
    <n v="20"/>
    <n v="10"/>
    <x v="2"/>
  </r>
  <r>
    <n v="3329"/>
    <x v="98"/>
    <x v="1"/>
    <d v="2024-06-03T00:00:00"/>
    <x v="0"/>
    <n v="5"/>
    <x v="2"/>
    <x v="1"/>
    <x v="1"/>
    <x v="1"/>
    <n v="0"/>
    <n v="1"/>
    <x v="4"/>
  </r>
  <r>
    <n v="3330"/>
    <x v="99"/>
    <x v="0"/>
    <d v="2024-06-04T00:00:00"/>
    <x v="1"/>
    <n v="15"/>
    <x v="0"/>
    <x v="0"/>
    <x v="0"/>
    <x v="0"/>
    <n v="20"/>
    <n v="15"/>
    <x v="14"/>
  </r>
  <r>
    <n v="3331"/>
    <x v="100"/>
    <x v="2"/>
    <d v="2024-06-05T00:00:00"/>
    <x v="0"/>
    <n v="10"/>
    <x v="0"/>
    <x v="1"/>
    <x v="1"/>
    <x v="0"/>
    <n v="20"/>
    <n v="5"/>
    <x v="13"/>
  </r>
  <r>
    <n v="3332"/>
    <x v="101"/>
    <x v="1"/>
    <d v="2024-06-06T00:00:00"/>
    <x v="1"/>
    <n v="5"/>
    <x v="1"/>
    <x v="1"/>
    <x v="1"/>
    <x v="1"/>
    <n v="0"/>
    <n v="0"/>
    <x v="1"/>
  </r>
  <r>
    <n v="3333"/>
    <x v="102"/>
    <x v="0"/>
    <d v="2024-06-07T00:00:00"/>
    <x v="0"/>
    <n v="15"/>
    <x v="2"/>
    <x v="0"/>
    <x v="0"/>
    <x v="0"/>
    <n v="20"/>
    <n v="20"/>
    <x v="8"/>
  </r>
  <r>
    <n v="3334"/>
    <x v="103"/>
    <x v="2"/>
    <d v="2024-06-08T00:00:00"/>
    <x v="1"/>
    <n v="10"/>
    <x v="2"/>
    <x v="1"/>
    <x v="1"/>
    <x v="0"/>
    <n v="20"/>
    <n v="12"/>
    <x v="10"/>
  </r>
  <r>
    <n v="3335"/>
    <x v="104"/>
    <x v="1"/>
    <d v="2024-06-09T00:00:00"/>
    <x v="0"/>
    <n v="5"/>
    <x v="0"/>
    <x v="1"/>
    <x v="1"/>
    <x v="1"/>
    <n v="0"/>
    <n v="2"/>
    <x v="11"/>
  </r>
  <r>
    <n v="3336"/>
    <x v="105"/>
    <x v="1"/>
    <d v="2024-06-10T00:00:00"/>
    <x v="0"/>
    <n v="5"/>
    <x v="0"/>
    <x v="1"/>
    <x v="1"/>
    <x v="1"/>
    <n v="0"/>
    <n v="0"/>
    <x v="1"/>
  </r>
  <r>
    <n v="3337"/>
    <x v="106"/>
    <x v="0"/>
    <d v="2024-06-11T00:00:00"/>
    <x v="1"/>
    <n v="15"/>
    <x v="2"/>
    <x v="0"/>
    <x v="0"/>
    <x v="0"/>
    <n v="20"/>
    <n v="7"/>
    <x v="12"/>
  </r>
  <r>
    <n v="3338"/>
    <x v="107"/>
    <x v="2"/>
    <d v="2024-06-12T00:00:00"/>
    <x v="0"/>
    <n v="10"/>
    <x v="1"/>
    <x v="1"/>
    <x v="1"/>
    <x v="0"/>
    <n v="20"/>
    <n v="10"/>
    <x v="2"/>
  </r>
  <r>
    <n v="3339"/>
    <x v="108"/>
    <x v="1"/>
    <d v="2024-06-13T00:00:00"/>
    <x v="1"/>
    <n v="5"/>
    <x v="2"/>
    <x v="1"/>
    <x v="1"/>
    <x v="1"/>
    <n v="0"/>
    <n v="1"/>
    <x v="4"/>
  </r>
  <r>
    <n v="3340"/>
    <x v="109"/>
    <x v="0"/>
    <d v="2024-06-14T00:00:00"/>
    <x v="0"/>
    <n v="15"/>
    <x v="0"/>
    <x v="0"/>
    <x v="0"/>
    <x v="0"/>
    <n v="20"/>
    <n v="15"/>
    <x v="14"/>
  </r>
  <r>
    <n v="3341"/>
    <x v="110"/>
    <x v="2"/>
    <d v="2024-06-15T00:00:00"/>
    <x v="1"/>
    <n v="10"/>
    <x v="0"/>
    <x v="1"/>
    <x v="1"/>
    <x v="0"/>
    <n v="20"/>
    <n v="5"/>
    <x v="13"/>
  </r>
  <r>
    <n v="3342"/>
    <x v="111"/>
    <x v="1"/>
    <d v="2024-06-16T00:00:00"/>
    <x v="0"/>
    <n v="5"/>
    <x v="1"/>
    <x v="1"/>
    <x v="1"/>
    <x v="1"/>
    <n v="0"/>
    <n v="0"/>
    <x v="1"/>
  </r>
  <r>
    <n v="3343"/>
    <x v="112"/>
    <x v="0"/>
    <d v="2024-06-17T00:00:00"/>
    <x v="1"/>
    <n v="15"/>
    <x v="2"/>
    <x v="0"/>
    <x v="0"/>
    <x v="0"/>
    <n v="20"/>
    <n v="20"/>
    <x v="8"/>
  </r>
  <r>
    <n v="3344"/>
    <x v="113"/>
    <x v="2"/>
    <d v="2024-06-18T00:00:00"/>
    <x v="0"/>
    <n v="10"/>
    <x v="2"/>
    <x v="1"/>
    <x v="1"/>
    <x v="0"/>
    <n v="20"/>
    <n v="12"/>
    <x v="10"/>
  </r>
  <r>
    <n v="3345"/>
    <x v="114"/>
    <x v="1"/>
    <d v="2024-06-19T00:00:00"/>
    <x v="1"/>
    <n v="5"/>
    <x v="0"/>
    <x v="1"/>
    <x v="1"/>
    <x v="1"/>
    <n v="0"/>
    <n v="2"/>
    <x v="11"/>
  </r>
  <r>
    <n v="3346"/>
    <x v="115"/>
    <x v="0"/>
    <d v="2024-06-20T00:00:00"/>
    <x v="0"/>
    <n v="15"/>
    <x v="1"/>
    <x v="0"/>
    <x v="0"/>
    <x v="0"/>
    <n v="20"/>
    <n v="5"/>
    <x v="0"/>
  </r>
  <r>
    <n v="3347"/>
    <x v="116"/>
    <x v="2"/>
    <d v="2024-06-21T00:00:00"/>
    <x v="1"/>
    <n v="10"/>
    <x v="0"/>
    <x v="1"/>
    <x v="1"/>
    <x v="0"/>
    <n v="20"/>
    <n v="10"/>
    <x v="2"/>
  </r>
  <r>
    <n v="3348"/>
    <x v="117"/>
    <x v="1"/>
    <d v="2024-06-22T00:00:00"/>
    <x v="0"/>
    <n v="5"/>
    <x v="2"/>
    <x v="1"/>
    <x v="1"/>
    <x v="1"/>
    <n v="0"/>
    <n v="0"/>
    <x v="1"/>
  </r>
  <r>
    <n v="3349"/>
    <x v="93"/>
    <x v="0"/>
    <d v="2024-06-23T00:00:00"/>
    <x v="1"/>
    <n v="15"/>
    <x v="0"/>
    <x v="0"/>
    <x v="0"/>
    <x v="0"/>
    <n v="20"/>
    <n v="3"/>
    <x v="3"/>
  </r>
  <r>
    <n v="3350"/>
    <x v="118"/>
    <x v="2"/>
    <d v="2024-06-24T00:00:00"/>
    <x v="0"/>
    <n v="10"/>
    <x v="1"/>
    <x v="1"/>
    <x v="1"/>
    <x v="0"/>
    <n v="20"/>
    <n v="15"/>
    <x v="7"/>
  </r>
  <r>
    <n v="3351"/>
    <x v="119"/>
    <x v="1"/>
    <d v="2024-06-25T00:00:00"/>
    <x v="1"/>
    <n v="5"/>
    <x v="0"/>
    <x v="1"/>
    <x v="1"/>
    <x v="1"/>
    <n v="0"/>
    <n v="1"/>
    <x v="4"/>
  </r>
  <r>
    <n v="3352"/>
    <x v="120"/>
    <x v="0"/>
    <d v="2024-06-26T00:00:00"/>
    <x v="0"/>
    <n v="15"/>
    <x v="2"/>
    <x v="0"/>
    <x v="0"/>
    <x v="0"/>
    <n v="20"/>
    <n v="7"/>
    <x v="12"/>
  </r>
  <r>
    <n v="3353"/>
    <x v="121"/>
    <x v="2"/>
    <d v="2024-06-27T00:00:00"/>
    <x v="1"/>
    <n v="10"/>
    <x v="0"/>
    <x v="1"/>
    <x v="1"/>
    <x v="0"/>
    <n v="20"/>
    <n v="10"/>
    <x v="2"/>
  </r>
  <r>
    <n v="3354"/>
    <x v="122"/>
    <x v="1"/>
    <d v="2024-06-28T00:00:00"/>
    <x v="0"/>
    <n v="5"/>
    <x v="1"/>
    <x v="1"/>
    <x v="1"/>
    <x v="1"/>
    <n v="0"/>
    <n v="0"/>
    <x v="1"/>
  </r>
  <r>
    <n v="3355"/>
    <x v="123"/>
    <x v="0"/>
    <d v="2024-06-29T00:00:00"/>
    <x v="1"/>
    <n v="15"/>
    <x v="0"/>
    <x v="0"/>
    <x v="0"/>
    <x v="0"/>
    <n v="20"/>
    <n v="20"/>
    <x v="8"/>
  </r>
  <r>
    <n v="3356"/>
    <x v="124"/>
    <x v="2"/>
    <d v="2024-06-30T00:00:00"/>
    <x v="0"/>
    <n v="10"/>
    <x v="2"/>
    <x v="1"/>
    <x v="1"/>
    <x v="0"/>
    <n v="20"/>
    <n v="15"/>
    <x v="7"/>
  </r>
  <r>
    <n v="3357"/>
    <x v="125"/>
    <x v="1"/>
    <d v="2024-07-01T00:00:00"/>
    <x v="1"/>
    <n v="5"/>
    <x v="0"/>
    <x v="1"/>
    <x v="1"/>
    <x v="1"/>
    <n v="0"/>
    <n v="1"/>
    <x v="4"/>
  </r>
  <r>
    <n v="3358"/>
    <x v="126"/>
    <x v="0"/>
    <d v="2024-07-02T00:00:00"/>
    <x v="0"/>
    <n v="15"/>
    <x v="1"/>
    <x v="0"/>
    <x v="0"/>
    <x v="0"/>
    <n v="20"/>
    <n v="3"/>
    <x v="3"/>
  </r>
  <r>
    <n v="3359"/>
    <x v="127"/>
    <x v="2"/>
    <d v="2024-07-03T00:00:00"/>
    <x v="1"/>
    <n v="10"/>
    <x v="0"/>
    <x v="1"/>
    <x v="1"/>
    <x v="0"/>
    <n v="20"/>
    <n v="10"/>
    <x v="2"/>
  </r>
  <r>
    <n v="3360"/>
    <x v="128"/>
    <x v="1"/>
    <d v="2024-07-04T00:00:00"/>
    <x v="0"/>
    <n v="5"/>
    <x v="2"/>
    <x v="1"/>
    <x v="1"/>
    <x v="1"/>
    <n v="0"/>
    <n v="0"/>
    <x v="1"/>
  </r>
  <r>
    <n v="3361"/>
    <x v="129"/>
    <x v="0"/>
    <d v="2024-07-05T00:00:00"/>
    <x v="1"/>
    <n v="15"/>
    <x v="0"/>
    <x v="0"/>
    <x v="0"/>
    <x v="0"/>
    <n v="20"/>
    <n v="15"/>
    <x v="14"/>
  </r>
  <r>
    <n v="3362"/>
    <x v="130"/>
    <x v="2"/>
    <d v="2024-07-06T00:00:00"/>
    <x v="0"/>
    <n v="10"/>
    <x v="1"/>
    <x v="1"/>
    <x v="1"/>
    <x v="0"/>
    <n v="20"/>
    <n v="15"/>
    <x v="7"/>
  </r>
  <r>
    <n v="3363"/>
    <x v="131"/>
    <x v="1"/>
    <d v="2024-07-07T00:00:00"/>
    <x v="1"/>
    <n v="5"/>
    <x v="0"/>
    <x v="1"/>
    <x v="1"/>
    <x v="1"/>
    <n v="0"/>
    <n v="1"/>
    <x v="4"/>
  </r>
  <r>
    <n v="3364"/>
    <x v="132"/>
    <x v="0"/>
    <d v="2024-07-08T00:00:00"/>
    <x v="0"/>
    <n v="15"/>
    <x v="2"/>
    <x v="0"/>
    <x v="0"/>
    <x v="0"/>
    <n v="20"/>
    <n v="7"/>
    <x v="12"/>
  </r>
  <r>
    <n v="3365"/>
    <x v="133"/>
    <x v="2"/>
    <d v="2024-07-09T00:00:00"/>
    <x v="1"/>
    <n v="10"/>
    <x v="0"/>
    <x v="1"/>
    <x v="1"/>
    <x v="0"/>
    <n v="20"/>
    <n v="10"/>
    <x v="2"/>
  </r>
  <r>
    <n v="3366"/>
    <x v="134"/>
    <x v="1"/>
    <d v="2024-07-10T00:00:00"/>
    <x v="0"/>
    <n v="5"/>
    <x v="0"/>
    <x v="1"/>
    <x v="1"/>
    <x v="1"/>
    <n v="0"/>
    <n v="0"/>
    <x v="1"/>
  </r>
  <r>
    <n v="3367"/>
    <x v="135"/>
    <x v="0"/>
    <d v="2024-07-11T00:00:00"/>
    <x v="1"/>
    <n v="15"/>
    <x v="2"/>
    <x v="0"/>
    <x v="0"/>
    <x v="0"/>
    <n v="20"/>
    <n v="7"/>
    <x v="12"/>
  </r>
  <r>
    <n v="3368"/>
    <x v="136"/>
    <x v="2"/>
    <d v="2024-07-12T00:00:00"/>
    <x v="0"/>
    <n v="10"/>
    <x v="1"/>
    <x v="1"/>
    <x v="1"/>
    <x v="0"/>
    <n v="20"/>
    <n v="10"/>
    <x v="2"/>
  </r>
  <r>
    <n v="3369"/>
    <x v="137"/>
    <x v="1"/>
    <d v="2024-07-13T00:00:00"/>
    <x v="1"/>
    <n v="5"/>
    <x v="2"/>
    <x v="1"/>
    <x v="1"/>
    <x v="1"/>
    <n v="0"/>
    <n v="1"/>
    <x v="4"/>
  </r>
  <r>
    <n v="3370"/>
    <x v="138"/>
    <x v="0"/>
    <d v="2024-07-14T00:00:00"/>
    <x v="0"/>
    <n v="15"/>
    <x v="0"/>
    <x v="0"/>
    <x v="0"/>
    <x v="0"/>
    <n v="20"/>
    <n v="15"/>
    <x v="14"/>
  </r>
  <r>
    <n v="3371"/>
    <x v="139"/>
    <x v="2"/>
    <d v="2024-07-15T00:00:00"/>
    <x v="1"/>
    <n v="10"/>
    <x v="0"/>
    <x v="1"/>
    <x v="1"/>
    <x v="0"/>
    <n v="20"/>
    <n v="5"/>
    <x v="13"/>
  </r>
  <r>
    <n v="3372"/>
    <x v="140"/>
    <x v="1"/>
    <d v="2024-07-16T00:00:00"/>
    <x v="0"/>
    <n v="5"/>
    <x v="1"/>
    <x v="1"/>
    <x v="1"/>
    <x v="1"/>
    <n v="0"/>
    <n v="0"/>
    <x v="1"/>
  </r>
  <r>
    <n v="3373"/>
    <x v="141"/>
    <x v="0"/>
    <d v="2024-07-17T00:00:00"/>
    <x v="1"/>
    <n v="15"/>
    <x v="2"/>
    <x v="0"/>
    <x v="0"/>
    <x v="0"/>
    <n v="20"/>
    <n v="20"/>
    <x v="8"/>
  </r>
  <r>
    <n v="3374"/>
    <x v="142"/>
    <x v="2"/>
    <d v="2024-07-18T00:00:00"/>
    <x v="0"/>
    <n v="10"/>
    <x v="2"/>
    <x v="1"/>
    <x v="1"/>
    <x v="0"/>
    <n v="20"/>
    <n v="12"/>
    <x v="10"/>
  </r>
  <r>
    <n v="3375"/>
    <x v="143"/>
    <x v="1"/>
    <d v="2024-07-19T00:00:00"/>
    <x v="1"/>
    <n v="5"/>
    <x v="0"/>
    <x v="1"/>
    <x v="1"/>
    <x v="1"/>
    <n v="0"/>
    <n v="2"/>
    <x v="11"/>
  </r>
  <r>
    <n v="3376"/>
    <x v="144"/>
    <x v="0"/>
    <d v="2024-07-20T00:00:00"/>
    <x v="0"/>
    <n v="15"/>
    <x v="1"/>
    <x v="0"/>
    <x v="0"/>
    <x v="0"/>
    <n v="20"/>
    <n v="5"/>
    <x v="0"/>
  </r>
  <r>
    <n v="3377"/>
    <x v="145"/>
    <x v="2"/>
    <d v="2024-07-21T00:00:00"/>
    <x v="1"/>
    <n v="10"/>
    <x v="0"/>
    <x v="1"/>
    <x v="1"/>
    <x v="0"/>
    <n v="20"/>
    <n v="10"/>
    <x v="2"/>
  </r>
  <r>
    <n v="3378"/>
    <x v="146"/>
    <x v="1"/>
    <d v="2024-07-22T00:00:00"/>
    <x v="0"/>
    <n v="5"/>
    <x v="2"/>
    <x v="1"/>
    <x v="1"/>
    <x v="1"/>
    <n v="0"/>
    <n v="0"/>
    <x v="1"/>
  </r>
  <r>
    <n v="3379"/>
    <x v="147"/>
    <x v="0"/>
    <d v="2024-07-23T00:00:00"/>
    <x v="1"/>
    <n v="15"/>
    <x v="0"/>
    <x v="0"/>
    <x v="0"/>
    <x v="0"/>
    <n v="20"/>
    <n v="3"/>
    <x v="3"/>
  </r>
  <r>
    <n v="3380"/>
    <x v="148"/>
    <x v="2"/>
    <d v="2024-07-24T00:00:00"/>
    <x v="0"/>
    <n v="10"/>
    <x v="1"/>
    <x v="1"/>
    <x v="1"/>
    <x v="0"/>
    <n v="20"/>
    <n v="15"/>
    <x v="7"/>
  </r>
  <r>
    <n v="3381"/>
    <x v="149"/>
    <x v="1"/>
    <d v="2024-07-25T00:00:00"/>
    <x v="1"/>
    <n v="5"/>
    <x v="0"/>
    <x v="1"/>
    <x v="1"/>
    <x v="1"/>
    <n v="0"/>
    <n v="1"/>
    <x v="4"/>
  </r>
  <r>
    <n v="3382"/>
    <x v="150"/>
    <x v="0"/>
    <d v="2024-07-26T00:00:00"/>
    <x v="0"/>
    <n v="15"/>
    <x v="2"/>
    <x v="0"/>
    <x v="0"/>
    <x v="0"/>
    <n v="20"/>
    <n v="7"/>
    <x v="12"/>
  </r>
  <r>
    <n v="3383"/>
    <x v="151"/>
    <x v="2"/>
    <d v="2024-07-27T00:00:00"/>
    <x v="1"/>
    <n v="10"/>
    <x v="0"/>
    <x v="1"/>
    <x v="1"/>
    <x v="0"/>
    <n v="20"/>
    <n v="10"/>
    <x v="2"/>
  </r>
  <r>
    <n v="3384"/>
    <x v="152"/>
    <x v="1"/>
    <d v="2024-07-28T00:00:00"/>
    <x v="0"/>
    <n v="5"/>
    <x v="1"/>
    <x v="1"/>
    <x v="1"/>
    <x v="1"/>
    <n v="0"/>
    <n v="0"/>
    <x v="1"/>
  </r>
  <r>
    <n v="3385"/>
    <x v="153"/>
    <x v="0"/>
    <d v="2024-07-29T00:00:00"/>
    <x v="1"/>
    <n v="15"/>
    <x v="0"/>
    <x v="0"/>
    <x v="0"/>
    <x v="0"/>
    <n v="20"/>
    <n v="20"/>
    <x v="8"/>
  </r>
  <r>
    <n v="3386"/>
    <x v="154"/>
    <x v="2"/>
    <d v="2024-07-30T00:00:00"/>
    <x v="0"/>
    <n v="10"/>
    <x v="2"/>
    <x v="1"/>
    <x v="1"/>
    <x v="0"/>
    <n v="20"/>
    <n v="15"/>
    <x v="7"/>
  </r>
  <r>
    <n v="3387"/>
    <x v="155"/>
    <x v="1"/>
    <d v="2024-07-31T00:00:00"/>
    <x v="1"/>
    <n v="5"/>
    <x v="0"/>
    <x v="1"/>
    <x v="1"/>
    <x v="1"/>
    <n v="0"/>
    <n v="1"/>
    <x v="4"/>
  </r>
  <r>
    <n v="3388"/>
    <x v="156"/>
    <x v="0"/>
    <d v="2024-08-01T00:00:00"/>
    <x v="0"/>
    <n v="15"/>
    <x v="1"/>
    <x v="0"/>
    <x v="0"/>
    <x v="0"/>
    <n v="20"/>
    <n v="3"/>
    <x v="3"/>
  </r>
  <r>
    <n v="3389"/>
    <x v="157"/>
    <x v="2"/>
    <d v="2024-08-02T00:00:00"/>
    <x v="1"/>
    <n v="10"/>
    <x v="0"/>
    <x v="1"/>
    <x v="1"/>
    <x v="0"/>
    <n v="20"/>
    <n v="10"/>
    <x v="2"/>
  </r>
  <r>
    <n v="3390"/>
    <x v="158"/>
    <x v="1"/>
    <d v="2024-08-03T00:00:00"/>
    <x v="0"/>
    <n v="5"/>
    <x v="2"/>
    <x v="1"/>
    <x v="1"/>
    <x v="1"/>
    <n v="0"/>
    <n v="0"/>
    <x v="1"/>
  </r>
  <r>
    <n v="3391"/>
    <x v="58"/>
    <x v="0"/>
    <d v="2024-08-04T00:00:00"/>
    <x v="1"/>
    <n v="15"/>
    <x v="0"/>
    <x v="0"/>
    <x v="0"/>
    <x v="0"/>
    <n v="20"/>
    <n v="15"/>
    <x v="14"/>
  </r>
  <r>
    <n v="3392"/>
    <x v="159"/>
    <x v="2"/>
    <d v="2024-08-05T00:00:00"/>
    <x v="0"/>
    <n v="10"/>
    <x v="1"/>
    <x v="1"/>
    <x v="1"/>
    <x v="0"/>
    <n v="20"/>
    <n v="15"/>
    <x v="7"/>
  </r>
  <r>
    <n v="3393"/>
    <x v="160"/>
    <x v="1"/>
    <d v="2024-08-06T00:00:00"/>
    <x v="1"/>
    <n v="5"/>
    <x v="0"/>
    <x v="1"/>
    <x v="1"/>
    <x v="1"/>
    <n v="0"/>
    <n v="1"/>
    <x v="4"/>
  </r>
  <r>
    <n v="3394"/>
    <x v="161"/>
    <x v="0"/>
    <d v="2024-08-07T00:00:00"/>
    <x v="0"/>
    <n v="15"/>
    <x v="2"/>
    <x v="0"/>
    <x v="0"/>
    <x v="0"/>
    <n v="20"/>
    <n v="7"/>
    <x v="12"/>
  </r>
  <r>
    <n v="3395"/>
    <x v="162"/>
    <x v="2"/>
    <d v="2024-08-08T00:00:00"/>
    <x v="1"/>
    <n v="10"/>
    <x v="0"/>
    <x v="1"/>
    <x v="1"/>
    <x v="0"/>
    <n v="20"/>
    <n v="10"/>
    <x v="2"/>
  </r>
  <r>
    <n v="3396"/>
    <x v="163"/>
    <x v="1"/>
    <d v="2024-08-09T00:00:00"/>
    <x v="0"/>
    <n v="5"/>
    <x v="1"/>
    <x v="1"/>
    <x v="1"/>
    <x v="1"/>
    <n v="0"/>
    <n v="0"/>
    <x v="1"/>
  </r>
  <r>
    <n v="3397"/>
    <x v="90"/>
    <x v="0"/>
    <d v="2024-08-10T00:00:00"/>
    <x v="1"/>
    <n v="15"/>
    <x v="0"/>
    <x v="0"/>
    <x v="0"/>
    <x v="0"/>
    <n v="20"/>
    <n v="20"/>
    <x v="8"/>
  </r>
  <r>
    <n v="3398"/>
    <x v="164"/>
    <x v="2"/>
    <d v="2024-08-11T00:00:00"/>
    <x v="0"/>
    <n v="10"/>
    <x v="2"/>
    <x v="1"/>
    <x v="1"/>
    <x v="0"/>
    <n v="20"/>
    <n v="15"/>
    <x v="7"/>
  </r>
  <r>
    <n v="3399"/>
    <x v="165"/>
    <x v="1"/>
    <d v="2024-08-12T00:00:00"/>
    <x v="1"/>
    <n v="5"/>
    <x v="0"/>
    <x v="1"/>
    <x v="1"/>
    <x v="1"/>
    <n v="0"/>
    <n v="1"/>
    <x v="4"/>
  </r>
  <r>
    <n v="3400"/>
    <x v="166"/>
    <x v="0"/>
    <d v="2024-08-13T00:00:00"/>
    <x v="0"/>
    <n v="15"/>
    <x v="1"/>
    <x v="0"/>
    <x v="0"/>
    <x v="0"/>
    <n v="20"/>
    <n v="5"/>
    <x v="0"/>
  </r>
  <r>
    <n v="3401"/>
    <x v="167"/>
    <x v="2"/>
    <d v="2024-08-14T00:00:00"/>
    <x v="1"/>
    <n v="10"/>
    <x v="0"/>
    <x v="1"/>
    <x v="1"/>
    <x v="0"/>
    <n v="20"/>
    <n v="10"/>
    <x v="2"/>
  </r>
  <r>
    <n v="3402"/>
    <x v="168"/>
    <x v="1"/>
    <d v="2024-08-15T00:00:00"/>
    <x v="0"/>
    <n v="5"/>
    <x v="2"/>
    <x v="1"/>
    <x v="1"/>
    <x v="1"/>
    <n v="0"/>
    <n v="0"/>
    <x v="1"/>
  </r>
  <r>
    <n v="3403"/>
    <x v="169"/>
    <x v="0"/>
    <d v="2024-08-16T00:00:00"/>
    <x v="1"/>
    <n v="15"/>
    <x v="0"/>
    <x v="0"/>
    <x v="0"/>
    <x v="0"/>
    <n v="20"/>
    <n v="3"/>
    <x v="3"/>
  </r>
  <r>
    <n v="3404"/>
    <x v="170"/>
    <x v="2"/>
    <d v="2024-08-17T00:00:00"/>
    <x v="0"/>
    <n v="10"/>
    <x v="1"/>
    <x v="1"/>
    <x v="1"/>
    <x v="0"/>
    <n v="20"/>
    <n v="15"/>
    <x v="7"/>
  </r>
  <r>
    <n v="3405"/>
    <x v="171"/>
    <x v="1"/>
    <d v="2024-08-18T00:00:00"/>
    <x v="1"/>
    <n v="5"/>
    <x v="0"/>
    <x v="1"/>
    <x v="1"/>
    <x v="1"/>
    <n v="0"/>
    <n v="1"/>
    <x v="4"/>
  </r>
  <r>
    <n v="3406"/>
    <x v="172"/>
    <x v="1"/>
    <d v="2024-08-19T00:00:00"/>
    <x v="0"/>
    <n v="5"/>
    <x v="0"/>
    <x v="1"/>
    <x v="1"/>
    <x v="1"/>
    <n v="0"/>
    <n v="0"/>
    <x v="1"/>
  </r>
  <r>
    <n v="3407"/>
    <x v="173"/>
    <x v="0"/>
    <d v="2024-08-20T00:00:00"/>
    <x v="1"/>
    <n v="15"/>
    <x v="2"/>
    <x v="0"/>
    <x v="0"/>
    <x v="0"/>
    <n v="20"/>
    <n v="7"/>
    <x v="12"/>
  </r>
  <r>
    <n v="3408"/>
    <x v="174"/>
    <x v="2"/>
    <d v="2024-08-21T00:00:00"/>
    <x v="0"/>
    <n v="10"/>
    <x v="1"/>
    <x v="1"/>
    <x v="1"/>
    <x v="0"/>
    <n v="20"/>
    <n v="10"/>
    <x v="2"/>
  </r>
  <r>
    <n v="3409"/>
    <x v="175"/>
    <x v="1"/>
    <d v="2024-08-22T00:00:00"/>
    <x v="1"/>
    <n v="5"/>
    <x v="2"/>
    <x v="1"/>
    <x v="1"/>
    <x v="1"/>
    <n v="0"/>
    <n v="1"/>
    <x v="4"/>
  </r>
  <r>
    <n v="3410"/>
    <x v="176"/>
    <x v="0"/>
    <d v="2024-08-23T00:00:00"/>
    <x v="0"/>
    <n v="15"/>
    <x v="0"/>
    <x v="0"/>
    <x v="0"/>
    <x v="0"/>
    <n v="20"/>
    <n v="15"/>
    <x v="14"/>
  </r>
  <r>
    <n v="3411"/>
    <x v="177"/>
    <x v="2"/>
    <d v="2024-08-24T00:00:00"/>
    <x v="1"/>
    <n v="10"/>
    <x v="0"/>
    <x v="1"/>
    <x v="1"/>
    <x v="0"/>
    <n v="20"/>
    <n v="5"/>
    <x v="13"/>
  </r>
  <r>
    <n v="3412"/>
    <x v="178"/>
    <x v="1"/>
    <d v="2024-08-25T00:00:00"/>
    <x v="0"/>
    <n v="5"/>
    <x v="1"/>
    <x v="1"/>
    <x v="1"/>
    <x v="1"/>
    <n v="0"/>
    <n v="0"/>
    <x v="1"/>
  </r>
  <r>
    <n v="3413"/>
    <x v="179"/>
    <x v="0"/>
    <d v="2024-08-26T00:00:00"/>
    <x v="1"/>
    <n v="15"/>
    <x v="2"/>
    <x v="0"/>
    <x v="0"/>
    <x v="0"/>
    <n v="20"/>
    <n v="20"/>
    <x v="8"/>
  </r>
  <r>
    <n v="3414"/>
    <x v="180"/>
    <x v="2"/>
    <d v="2024-08-27T00:00:00"/>
    <x v="0"/>
    <n v="10"/>
    <x v="2"/>
    <x v="1"/>
    <x v="1"/>
    <x v="0"/>
    <n v="20"/>
    <n v="12"/>
    <x v="10"/>
  </r>
  <r>
    <n v="3415"/>
    <x v="181"/>
    <x v="1"/>
    <d v="2024-08-28T00:00:00"/>
    <x v="1"/>
    <n v="5"/>
    <x v="0"/>
    <x v="1"/>
    <x v="1"/>
    <x v="1"/>
    <n v="0"/>
    <n v="2"/>
    <x v="11"/>
  </r>
  <r>
    <n v="3416"/>
    <x v="182"/>
    <x v="0"/>
    <d v="2024-08-29T00:00:00"/>
    <x v="0"/>
    <n v="15"/>
    <x v="1"/>
    <x v="0"/>
    <x v="0"/>
    <x v="0"/>
    <n v="20"/>
    <n v="5"/>
    <x v="0"/>
  </r>
  <r>
    <n v="3417"/>
    <x v="183"/>
    <x v="2"/>
    <d v="2024-08-30T00:00:00"/>
    <x v="1"/>
    <n v="10"/>
    <x v="0"/>
    <x v="1"/>
    <x v="1"/>
    <x v="0"/>
    <n v="20"/>
    <n v="10"/>
    <x v="2"/>
  </r>
  <r>
    <n v="3418"/>
    <x v="184"/>
    <x v="1"/>
    <d v="2024-08-31T00:00:00"/>
    <x v="0"/>
    <n v="5"/>
    <x v="2"/>
    <x v="1"/>
    <x v="1"/>
    <x v="1"/>
    <n v="0"/>
    <n v="0"/>
    <x v="1"/>
  </r>
  <r>
    <n v="3419"/>
    <x v="185"/>
    <x v="0"/>
    <d v="2024-09-01T00:00:00"/>
    <x v="1"/>
    <n v="15"/>
    <x v="0"/>
    <x v="0"/>
    <x v="0"/>
    <x v="0"/>
    <n v="20"/>
    <n v="3"/>
    <x v="3"/>
  </r>
  <r>
    <n v="3420"/>
    <x v="186"/>
    <x v="2"/>
    <d v="2024-09-02T00:00:00"/>
    <x v="0"/>
    <n v="10"/>
    <x v="1"/>
    <x v="1"/>
    <x v="1"/>
    <x v="0"/>
    <n v="20"/>
    <n v="15"/>
    <x v="7"/>
  </r>
  <r>
    <n v="3421"/>
    <x v="15"/>
    <x v="1"/>
    <d v="2024-09-03T00:00:00"/>
    <x v="1"/>
    <n v="5"/>
    <x v="0"/>
    <x v="1"/>
    <x v="1"/>
    <x v="1"/>
    <n v="0"/>
    <n v="1"/>
    <x v="4"/>
  </r>
  <r>
    <n v="3422"/>
    <x v="187"/>
    <x v="0"/>
    <d v="2024-09-04T00:00:00"/>
    <x v="0"/>
    <n v="15"/>
    <x v="2"/>
    <x v="0"/>
    <x v="0"/>
    <x v="0"/>
    <n v="20"/>
    <n v="7"/>
    <x v="12"/>
  </r>
  <r>
    <n v="3423"/>
    <x v="188"/>
    <x v="2"/>
    <d v="2024-09-05T00:00:00"/>
    <x v="1"/>
    <n v="10"/>
    <x v="0"/>
    <x v="1"/>
    <x v="1"/>
    <x v="0"/>
    <n v="20"/>
    <n v="10"/>
    <x v="2"/>
  </r>
  <r>
    <n v="3424"/>
    <x v="14"/>
    <x v="1"/>
    <d v="2024-09-06T00:00:00"/>
    <x v="0"/>
    <n v="5"/>
    <x v="1"/>
    <x v="1"/>
    <x v="1"/>
    <x v="1"/>
    <n v="0"/>
    <n v="0"/>
    <x v="1"/>
  </r>
  <r>
    <n v="3425"/>
    <x v="189"/>
    <x v="0"/>
    <d v="2024-09-07T00:00:00"/>
    <x v="1"/>
    <n v="15"/>
    <x v="0"/>
    <x v="0"/>
    <x v="0"/>
    <x v="0"/>
    <n v="20"/>
    <n v="20"/>
    <x v="8"/>
  </r>
  <r>
    <n v="3426"/>
    <x v="167"/>
    <x v="2"/>
    <d v="2024-09-08T00:00:00"/>
    <x v="0"/>
    <n v="10"/>
    <x v="2"/>
    <x v="1"/>
    <x v="1"/>
    <x v="0"/>
    <n v="20"/>
    <n v="15"/>
    <x v="7"/>
  </r>
  <r>
    <n v="3427"/>
    <x v="190"/>
    <x v="1"/>
    <d v="2024-09-09T00:00:00"/>
    <x v="1"/>
    <n v="5"/>
    <x v="0"/>
    <x v="1"/>
    <x v="1"/>
    <x v="1"/>
    <n v="0"/>
    <n v="1"/>
    <x v="4"/>
  </r>
  <r>
    <n v="3428"/>
    <x v="191"/>
    <x v="0"/>
    <d v="2024-09-10T00:00:00"/>
    <x v="0"/>
    <n v="15"/>
    <x v="1"/>
    <x v="0"/>
    <x v="0"/>
    <x v="0"/>
    <n v="20"/>
    <n v="3"/>
    <x v="3"/>
  </r>
  <r>
    <n v="3429"/>
    <x v="192"/>
    <x v="2"/>
    <d v="2024-09-11T00:00:00"/>
    <x v="1"/>
    <n v="10"/>
    <x v="0"/>
    <x v="1"/>
    <x v="1"/>
    <x v="0"/>
    <n v="20"/>
    <n v="10"/>
    <x v="2"/>
  </r>
  <r>
    <n v="3430"/>
    <x v="193"/>
    <x v="1"/>
    <d v="2024-09-12T00:00:00"/>
    <x v="0"/>
    <n v="5"/>
    <x v="2"/>
    <x v="1"/>
    <x v="1"/>
    <x v="1"/>
    <n v="0"/>
    <n v="0"/>
    <x v="1"/>
  </r>
  <r>
    <n v="3431"/>
    <x v="194"/>
    <x v="0"/>
    <d v="2024-09-13T00:00:00"/>
    <x v="1"/>
    <n v="15"/>
    <x v="0"/>
    <x v="0"/>
    <x v="0"/>
    <x v="0"/>
    <n v="20"/>
    <n v="15"/>
    <x v="14"/>
  </r>
  <r>
    <n v="3432"/>
    <x v="195"/>
    <x v="2"/>
    <d v="2024-09-14T00:00:00"/>
    <x v="0"/>
    <n v="10"/>
    <x v="1"/>
    <x v="1"/>
    <x v="1"/>
    <x v="0"/>
    <n v="20"/>
    <n v="15"/>
    <x v="7"/>
  </r>
  <r>
    <n v="3433"/>
    <x v="196"/>
    <x v="1"/>
    <d v="2024-09-15T00:00:00"/>
    <x v="1"/>
    <n v="5"/>
    <x v="0"/>
    <x v="1"/>
    <x v="1"/>
    <x v="1"/>
    <n v="0"/>
    <n v="1"/>
    <x v="4"/>
  </r>
  <r>
    <n v="3434"/>
    <x v="197"/>
    <x v="0"/>
    <d v="2024-09-16T00:00:00"/>
    <x v="0"/>
    <n v="15"/>
    <x v="2"/>
    <x v="0"/>
    <x v="0"/>
    <x v="0"/>
    <n v="20"/>
    <n v="7"/>
    <x v="12"/>
  </r>
  <r>
    <n v="3435"/>
    <x v="198"/>
    <x v="2"/>
    <d v="2024-09-17T00:00:00"/>
    <x v="1"/>
    <n v="10"/>
    <x v="0"/>
    <x v="1"/>
    <x v="1"/>
    <x v="0"/>
    <n v="20"/>
    <n v="10"/>
    <x v="2"/>
  </r>
  <r>
    <n v="3436"/>
    <x v="199"/>
    <x v="1"/>
    <d v="2024-09-18T00:00:00"/>
    <x v="0"/>
    <n v="5"/>
    <x v="0"/>
    <x v="1"/>
    <x v="1"/>
    <x v="1"/>
    <n v="0"/>
    <n v="0"/>
    <x v="1"/>
  </r>
  <r>
    <n v="3437"/>
    <x v="200"/>
    <x v="0"/>
    <d v="2024-09-19T00:00:00"/>
    <x v="1"/>
    <n v="15"/>
    <x v="2"/>
    <x v="0"/>
    <x v="0"/>
    <x v="0"/>
    <n v="20"/>
    <n v="7"/>
    <x v="12"/>
  </r>
  <r>
    <n v="3438"/>
    <x v="201"/>
    <x v="2"/>
    <d v="2024-09-20T00:00:00"/>
    <x v="0"/>
    <n v="10"/>
    <x v="1"/>
    <x v="1"/>
    <x v="1"/>
    <x v="0"/>
    <n v="20"/>
    <n v="10"/>
    <x v="2"/>
  </r>
  <r>
    <n v="3439"/>
    <x v="202"/>
    <x v="1"/>
    <d v="2024-09-21T00:00:00"/>
    <x v="1"/>
    <n v="5"/>
    <x v="2"/>
    <x v="1"/>
    <x v="1"/>
    <x v="1"/>
    <n v="0"/>
    <n v="1"/>
    <x v="4"/>
  </r>
  <r>
    <n v="3440"/>
    <x v="203"/>
    <x v="0"/>
    <d v="2024-09-22T00:00:00"/>
    <x v="0"/>
    <n v="15"/>
    <x v="0"/>
    <x v="0"/>
    <x v="0"/>
    <x v="0"/>
    <n v="20"/>
    <n v="15"/>
    <x v="14"/>
  </r>
  <r>
    <n v="3441"/>
    <x v="204"/>
    <x v="2"/>
    <d v="2024-09-23T00:00:00"/>
    <x v="1"/>
    <n v="10"/>
    <x v="0"/>
    <x v="1"/>
    <x v="1"/>
    <x v="0"/>
    <n v="20"/>
    <n v="5"/>
    <x v="13"/>
  </r>
  <r>
    <n v="3442"/>
    <x v="205"/>
    <x v="1"/>
    <d v="2024-09-24T00:00:00"/>
    <x v="0"/>
    <n v="5"/>
    <x v="1"/>
    <x v="1"/>
    <x v="1"/>
    <x v="1"/>
    <n v="0"/>
    <n v="0"/>
    <x v="1"/>
  </r>
  <r>
    <n v="3443"/>
    <x v="206"/>
    <x v="0"/>
    <d v="2024-09-25T00:00:00"/>
    <x v="1"/>
    <n v="15"/>
    <x v="2"/>
    <x v="0"/>
    <x v="0"/>
    <x v="0"/>
    <n v="20"/>
    <n v="20"/>
    <x v="8"/>
  </r>
  <r>
    <n v="3444"/>
    <x v="207"/>
    <x v="2"/>
    <d v="2024-09-26T00:00:00"/>
    <x v="0"/>
    <n v="10"/>
    <x v="2"/>
    <x v="1"/>
    <x v="1"/>
    <x v="0"/>
    <n v="20"/>
    <n v="12"/>
    <x v="10"/>
  </r>
  <r>
    <n v="3445"/>
    <x v="37"/>
    <x v="1"/>
    <d v="2024-09-27T00:00:00"/>
    <x v="1"/>
    <n v="5"/>
    <x v="0"/>
    <x v="1"/>
    <x v="1"/>
    <x v="1"/>
    <n v="0"/>
    <n v="2"/>
    <x v="11"/>
  </r>
  <r>
    <n v="3446"/>
    <x v="208"/>
    <x v="0"/>
    <d v="2024-09-28T00:00:00"/>
    <x v="0"/>
    <n v="15"/>
    <x v="1"/>
    <x v="0"/>
    <x v="0"/>
    <x v="0"/>
    <n v="20"/>
    <n v="5"/>
    <x v="0"/>
  </r>
  <r>
    <n v="3447"/>
    <x v="209"/>
    <x v="2"/>
    <d v="2024-09-29T00:00:00"/>
    <x v="1"/>
    <n v="10"/>
    <x v="0"/>
    <x v="1"/>
    <x v="1"/>
    <x v="0"/>
    <n v="20"/>
    <n v="10"/>
    <x v="2"/>
  </r>
  <r>
    <n v="3448"/>
    <x v="210"/>
    <x v="1"/>
    <d v="2024-09-30T00:00:00"/>
    <x v="0"/>
    <n v="5"/>
    <x v="2"/>
    <x v="1"/>
    <x v="1"/>
    <x v="1"/>
    <n v="0"/>
    <n v="0"/>
    <x v="1"/>
  </r>
  <r>
    <n v="3449"/>
    <x v="211"/>
    <x v="0"/>
    <d v="2024-10-01T00:00:00"/>
    <x v="1"/>
    <n v="15"/>
    <x v="0"/>
    <x v="0"/>
    <x v="0"/>
    <x v="0"/>
    <n v="20"/>
    <n v="3"/>
    <x v="3"/>
  </r>
  <r>
    <n v="3450"/>
    <x v="212"/>
    <x v="2"/>
    <d v="2024-10-02T00:00:00"/>
    <x v="0"/>
    <n v="10"/>
    <x v="1"/>
    <x v="1"/>
    <x v="1"/>
    <x v="0"/>
    <n v="20"/>
    <n v="15"/>
    <x v="7"/>
  </r>
  <r>
    <n v="3451"/>
    <x v="213"/>
    <x v="1"/>
    <d v="2024-10-03T00:00:00"/>
    <x v="1"/>
    <n v="5"/>
    <x v="0"/>
    <x v="1"/>
    <x v="1"/>
    <x v="1"/>
    <n v="0"/>
    <n v="1"/>
    <x v="4"/>
  </r>
  <r>
    <n v="3452"/>
    <x v="191"/>
    <x v="0"/>
    <d v="2024-10-04T00:00:00"/>
    <x v="0"/>
    <n v="15"/>
    <x v="2"/>
    <x v="0"/>
    <x v="0"/>
    <x v="0"/>
    <n v="20"/>
    <n v="7"/>
    <x v="12"/>
  </r>
  <r>
    <n v="3453"/>
    <x v="45"/>
    <x v="2"/>
    <d v="2024-10-05T00:00:00"/>
    <x v="1"/>
    <n v="10"/>
    <x v="0"/>
    <x v="1"/>
    <x v="1"/>
    <x v="0"/>
    <n v="20"/>
    <n v="10"/>
    <x v="2"/>
  </r>
  <r>
    <n v="3454"/>
    <x v="214"/>
    <x v="1"/>
    <d v="2024-10-06T00:00:00"/>
    <x v="0"/>
    <n v="5"/>
    <x v="1"/>
    <x v="1"/>
    <x v="1"/>
    <x v="1"/>
    <n v="0"/>
    <n v="0"/>
    <x v="1"/>
  </r>
  <r>
    <n v="3455"/>
    <x v="215"/>
    <x v="0"/>
    <d v="2024-10-07T00:00:00"/>
    <x v="1"/>
    <n v="15"/>
    <x v="0"/>
    <x v="0"/>
    <x v="0"/>
    <x v="0"/>
    <n v="20"/>
    <n v="20"/>
    <x v="8"/>
  </r>
  <r>
    <n v="3456"/>
    <x v="216"/>
    <x v="2"/>
    <d v="2024-10-08T00:00:00"/>
    <x v="0"/>
    <n v="10"/>
    <x v="2"/>
    <x v="1"/>
    <x v="1"/>
    <x v="0"/>
    <n v="20"/>
    <n v="15"/>
    <x v="7"/>
  </r>
  <r>
    <n v="3457"/>
    <x v="217"/>
    <x v="1"/>
    <d v="2024-10-09T00:00:00"/>
    <x v="1"/>
    <n v="5"/>
    <x v="0"/>
    <x v="1"/>
    <x v="1"/>
    <x v="1"/>
    <n v="0"/>
    <n v="1"/>
    <x v="4"/>
  </r>
  <r>
    <n v="3458"/>
    <x v="218"/>
    <x v="0"/>
    <d v="2024-10-10T00:00:00"/>
    <x v="0"/>
    <n v="15"/>
    <x v="1"/>
    <x v="0"/>
    <x v="0"/>
    <x v="0"/>
    <n v="20"/>
    <n v="3"/>
    <x v="3"/>
  </r>
  <r>
    <n v="3459"/>
    <x v="219"/>
    <x v="2"/>
    <d v="2024-10-11T00:00:00"/>
    <x v="1"/>
    <n v="10"/>
    <x v="0"/>
    <x v="1"/>
    <x v="1"/>
    <x v="0"/>
    <n v="20"/>
    <n v="10"/>
    <x v="2"/>
  </r>
  <r>
    <n v="3460"/>
    <x v="127"/>
    <x v="1"/>
    <d v="2024-10-12T00:00:00"/>
    <x v="0"/>
    <n v="5"/>
    <x v="2"/>
    <x v="1"/>
    <x v="1"/>
    <x v="1"/>
    <n v="0"/>
    <n v="0"/>
    <x v="1"/>
  </r>
  <r>
    <n v="3461"/>
    <x v="220"/>
    <x v="0"/>
    <d v="2024-10-13T00:00:00"/>
    <x v="1"/>
    <n v="15"/>
    <x v="0"/>
    <x v="0"/>
    <x v="0"/>
    <x v="0"/>
    <n v="20"/>
    <n v="15"/>
    <x v="14"/>
  </r>
  <r>
    <n v="3462"/>
    <x v="221"/>
    <x v="2"/>
    <d v="2024-10-14T00:00:00"/>
    <x v="0"/>
    <n v="10"/>
    <x v="1"/>
    <x v="1"/>
    <x v="1"/>
    <x v="0"/>
    <n v="20"/>
    <n v="15"/>
    <x v="7"/>
  </r>
  <r>
    <n v="3463"/>
    <x v="222"/>
    <x v="1"/>
    <d v="2024-10-15T00:00:00"/>
    <x v="1"/>
    <n v="5"/>
    <x v="0"/>
    <x v="1"/>
    <x v="1"/>
    <x v="1"/>
    <n v="0"/>
    <n v="1"/>
    <x v="4"/>
  </r>
  <r>
    <n v="3464"/>
    <x v="223"/>
    <x v="0"/>
    <d v="2024-10-16T00:00:00"/>
    <x v="0"/>
    <n v="15"/>
    <x v="2"/>
    <x v="0"/>
    <x v="0"/>
    <x v="0"/>
    <n v="20"/>
    <n v="7"/>
    <x v="12"/>
  </r>
  <r>
    <n v="3465"/>
    <x v="224"/>
    <x v="2"/>
    <d v="2024-10-17T00:00:00"/>
    <x v="1"/>
    <n v="10"/>
    <x v="0"/>
    <x v="1"/>
    <x v="1"/>
    <x v="0"/>
    <n v="20"/>
    <n v="10"/>
    <x v="2"/>
  </r>
  <r>
    <n v="3466"/>
    <x v="225"/>
    <x v="1"/>
    <d v="2024-10-18T00:00:00"/>
    <x v="0"/>
    <n v="5"/>
    <x v="1"/>
    <x v="1"/>
    <x v="1"/>
    <x v="1"/>
    <n v="0"/>
    <n v="0"/>
    <x v="1"/>
  </r>
  <r>
    <n v="3467"/>
    <x v="226"/>
    <x v="0"/>
    <d v="2024-10-19T00:00:00"/>
    <x v="1"/>
    <n v="15"/>
    <x v="0"/>
    <x v="0"/>
    <x v="0"/>
    <x v="0"/>
    <n v="20"/>
    <n v="15"/>
    <x v="14"/>
  </r>
  <r>
    <n v="3468"/>
    <x v="227"/>
    <x v="2"/>
    <d v="2024-10-20T00:00:00"/>
    <x v="0"/>
    <n v="10"/>
    <x v="2"/>
    <x v="1"/>
    <x v="1"/>
    <x v="0"/>
    <n v="20"/>
    <n v="12"/>
    <x v="10"/>
  </r>
  <r>
    <n v="3469"/>
    <x v="228"/>
    <x v="1"/>
    <d v="2024-10-21T00:00:00"/>
    <x v="1"/>
    <n v="5"/>
    <x v="0"/>
    <x v="1"/>
    <x v="1"/>
    <x v="1"/>
    <n v="0"/>
    <n v="2"/>
    <x v="11"/>
  </r>
  <r>
    <n v="3470"/>
    <x v="229"/>
    <x v="0"/>
    <d v="2024-10-22T00:00:00"/>
    <x v="0"/>
    <n v="15"/>
    <x v="1"/>
    <x v="0"/>
    <x v="0"/>
    <x v="0"/>
    <n v="20"/>
    <n v="5"/>
    <x v="0"/>
  </r>
  <r>
    <n v="3471"/>
    <x v="230"/>
    <x v="2"/>
    <d v="2024-10-23T00:00:00"/>
    <x v="1"/>
    <n v="10"/>
    <x v="0"/>
    <x v="1"/>
    <x v="1"/>
    <x v="0"/>
    <n v="20"/>
    <n v="10"/>
    <x v="2"/>
  </r>
  <r>
    <n v="3472"/>
    <x v="231"/>
    <x v="1"/>
    <d v="2024-10-24T00:00:00"/>
    <x v="0"/>
    <n v="5"/>
    <x v="2"/>
    <x v="1"/>
    <x v="1"/>
    <x v="1"/>
    <n v="0"/>
    <n v="0"/>
    <x v="1"/>
  </r>
  <r>
    <n v="3473"/>
    <x v="140"/>
    <x v="0"/>
    <d v="2024-10-25T00:00:00"/>
    <x v="1"/>
    <n v="15"/>
    <x v="0"/>
    <x v="0"/>
    <x v="0"/>
    <x v="0"/>
    <n v="20"/>
    <n v="3"/>
    <x v="3"/>
  </r>
  <r>
    <n v="3474"/>
    <x v="232"/>
    <x v="2"/>
    <d v="2024-10-26T00:00:00"/>
    <x v="0"/>
    <n v="10"/>
    <x v="1"/>
    <x v="1"/>
    <x v="1"/>
    <x v="0"/>
    <n v="20"/>
    <n v="15"/>
    <x v="7"/>
  </r>
  <r>
    <n v="3475"/>
    <x v="233"/>
    <x v="1"/>
    <d v="2024-10-27T00:00:00"/>
    <x v="1"/>
    <n v="5"/>
    <x v="0"/>
    <x v="1"/>
    <x v="1"/>
    <x v="1"/>
    <n v="0"/>
    <n v="1"/>
    <x v="4"/>
  </r>
  <r>
    <n v="3476"/>
    <x v="234"/>
    <x v="0"/>
    <d v="2024-10-28T00:00:00"/>
    <x v="0"/>
    <n v="15"/>
    <x v="2"/>
    <x v="0"/>
    <x v="0"/>
    <x v="0"/>
    <n v="20"/>
    <n v="7"/>
    <x v="12"/>
  </r>
  <r>
    <n v="3477"/>
    <x v="235"/>
    <x v="2"/>
    <d v="2024-10-29T00:00:00"/>
    <x v="1"/>
    <n v="10"/>
    <x v="0"/>
    <x v="1"/>
    <x v="1"/>
    <x v="0"/>
    <n v="20"/>
    <n v="10"/>
    <x v="2"/>
  </r>
  <r>
    <n v="3478"/>
    <x v="236"/>
    <x v="1"/>
    <d v="2024-10-30T00:00:00"/>
    <x v="0"/>
    <n v="5"/>
    <x v="1"/>
    <x v="1"/>
    <x v="1"/>
    <x v="1"/>
    <n v="0"/>
    <n v="0"/>
    <x v="1"/>
  </r>
  <r>
    <n v="3479"/>
    <x v="237"/>
    <x v="0"/>
    <d v="2024-10-31T00:00:00"/>
    <x v="1"/>
    <n v="15"/>
    <x v="0"/>
    <x v="0"/>
    <x v="0"/>
    <x v="0"/>
    <n v="20"/>
    <n v="20"/>
    <x v="8"/>
  </r>
  <r>
    <n v="3480"/>
    <x v="238"/>
    <x v="2"/>
    <d v="2024-11-01T00:00:00"/>
    <x v="0"/>
    <n v="10"/>
    <x v="2"/>
    <x v="1"/>
    <x v="1"/>
    <x v="0"/>
    <n v="20"/>
    <n v="15"/>
    <x v="7"/>
  </r>
  <r>
    <n v="3481"/>
    <x v="239"/>
    <x v="1"/>
    <d v="2024-11-02T00:00:00"/>
    <x v="1"/>
    <n v="5"/>
    <x v="0"/>
    <x v="1"/>
    <x v="1"/>
    <x v="1"/>
    <n v="0"/>
    <n v="1"/>
    <x v="4"/>
  </r>
  <r>
    <n v="3482"/>
    <x v="240"/>
    <x v="0"/>
    <d v="2024-11-03T00:00:00"/>
    <x v="0"/>
    <n v="15"/>
    <x v="1"/>
    <x v="0"/>
    <x v="0"/>
    <x v="0"/>
    <n v="20"/>
    <n v="3"/>
    <x v="3"/>
  </r>
  <r>
    <n v="3483"/>
    <x v="241"/>
    <x v="2"/>
    <d v="2024-11-04T00:00:00"/>
    <x v="1"/>
    <n v="10"/>
    <x v="0"/>
    <x v="1"/>
    <x v="1"/>
    <x v="0"/>
    <n v="20"/>
    <n v="10"/>
    <x v="2"/>
  </r>
  <r>
    <n v="3484"/>
    <x v="242"/>
    <x v="1"/>
    <d v="2024-11-05T00:00:00"/>
    <x v="0"/>
    <n v="5"/>
    <x v="2"/>
    <x v="1"/>
    <x v="1"/>
    <x v="1"/>
    <n v="0"/>
    <n v="0"/>
    <x v="1"/>
  </r>
  <r>
    <n v="3485"/>
    <x v="243"/>
    <x v="0"/>
    <d v="2024-11-06T00:00:00"/>
    <x v="1"/>
    <n v="15"/>
    <x v="0"/>
    <x v="0"/>
    <x v="0"/>
    <x v="0"/>
    <n v="20"/>
    <n v="15"/>
    <x v="14"/>
  </r>
  <r>
    <n v="3486"/>
    <x v="244"/>
    <x v="1"/>
    <d v="2024-11-07T00:00:00"/>
    <x v="0"/>
    <n v="5"/>
    <x v="0"/>
    <x v="1"/>
    <x v="1"/>
    <x v="1"/>
    <n v="0"/>
    <n v="0"/>
    <x v="1"/>
  </r>
  <r>
    <n v="3487"/>
    <x v="245"/>
    <x v="0"/>
    <d v="2024-11-08T00:00:00"/>
    <x v="1"/>
    <n v="15"/>
    <x v="2"/>
    <x v="0"/>
    <x v="0"/>
    <x v="0"/>
    <n v="20"/>
    <n v="7"/>
    <x v="12"/>
  </r>
  <r>
    <n v="3488"/>
    <x v="246"/>
    <x v="2"/>
    <d v="2024-11-09T00:00:00"/>
    <x v="0"/>
    <n v="10"/>
    <x v="1"/>
    <x v="1"/>
    <x v="1"/>
    <x v="0"/>
    <n v="20"/>
    <n v="10"/>
    <x v="2"/>
  </r>
  <r>
    <n v="3489"/>
    <x v="247"/>
    <x v="1"/>
    <d v="2024-11-10T00:00:00"/>
    <x v="1"/>
    <n v="5"/>
    <x v="2"/>
    <x v="1"/>
    <x v="1"/>
    <x v="1"/>
    <n v="0"/>
    <n v="1"/>
    <x v="4"/>
  </r>
  <r>
    <n v="3490"/>
    <x v="248"/>
    <x v="0"/>
    <d v="2024-11-11T00:00:00"/>
    <x v="0"/>
    <n v="15"/>
    <x v="0"/>
    <x v="0"/>
    <x v="0"/>
    <x v="0"/>
    <n v="20"/>
    <n v="15"/>
    <x v="14"/>
  </r>
  <r>
    <n v="3491"/>
    <x v="249"/>
    <x v="2"/>
    <d v="2024-11-12T00:00:00"/>
    <x v="1"/>
    <n v="10"/>
    <x v="0"/>
    <x v="1"/>
    <x v="1"/>
    <x v="0"/>
    <n v="20"/>
    <n v="5"/>
    <x v="13"/>
  </r>
  <r>
    <n v="3492"/>
    <x v="250"/>
    <x v="1"/>
    <d v="2024-11-13T00:00:00"/>
    <x v="0"/>
    <n v="5"/>
    <x v="1"/>
    <x v="1"/>
    <x v="1"/>
    <x v="1"/>
    <n v="0"/>
    <n v="0"/>
    <x v="1"/>
  </r>
  <r>
    <n v="3493"/>
    <x v="251"/>
    <x v="0"/>
    <d v="2024-11-14T00:00:00"/>
    <x v="1"/>
    <n v="15"/>
    <x v="2"/>
    <x v="0"/>
    <x v="0"/>
    <x v="0"/>
    <n v="20"/>
    <n v="20"/>
    <x v="8"/>
  </r>
  <r>
    <n v="3494"/>
    <x v="252"/>
    <x v="2"/>
    <d v="2024-11-15T00:00:00"/>
    <x v="0"/>
    <n v="10"/>
    <x v="2"/>
    <x v="1"/>
    <x v="1"/>
    <x v="0"/>
    <n v="20"/>
    <n v="12"/>
    <x v="10"/>
  </r>
  <r>
    <n v="3495"/>
    <x v="253"/>
    <x v="1"/>
    <d v="2024-11-16T00:00:00"/>
    <x v="1"/>
    <n v="5"/>
    <x v="0"/>
    <x v="1"/>
    <x v="1"/>
    <x v="1"/>
    <n v="0"/>
    <n v="2"/>
    <x v="11"/>
  </r>
  <r>
    <n v="3496"/>
    <x v="254"/>
    <x v="0"/>
    <d v="2024-11-17T00:00:00"/>
    <x v="0"/>
    <n v="15"/>
    <x v="1"/>
    <x v="0"/>
    <x v="0"/>
    <x v="0"/>
    <n v="20"/>
    <n v="5"/>
    <x v="0"/>
  </r>
  <r>
    <n v="3497"/>
    <x v="255"/>
    <x v="2"/>
    <d v="2024-11-18T00:00:00"/>
    <x v="1"/>
    <n v="10"/>
    <x v="0"/>
    <x v="1"/>
    <x v="1"/>
    <x v="0"/>
    <n v="20"/>
    <n v="10"/>
    <x v="2"/>
  </r>
  <r>
    <n v="3498"/>
    <x v="256"/>
    <x v="1"/>
    <d v="2024-11-19T00:00:00"/>
    <x v="0"/>
    <n v="5"/>
    <x v="2"/>
    <x v="1"/>
    <x v="1"/>
    <x v="1"/>
    <n v="0"/>
    <n v="0"/>
    <x v="1"/>
  </r>
  <r>
    <n v="3499"/>
    <x v="257"/>
    <x v="0"/>
    <d v="2024-11-20T00:00:00"/>
    <x v="1"/>
    <n v="15"/>
    <x v="0"/>
    <x v="0"/>
    <x v="0"/>
    <x v="0"/>
    <n v="20"/>
    <n v="3"/>
    <x v="3"/>
  </r>
  <r>
    <n v="3500"/>
    <x v="258"/>
    <x v="2"/>
    <d v="2024-11-21T00:00:00"/>
    <x v="0"/>
    <n v="10"/>
    <x v="1"/>
    <x v="1"/>
    <x v="1"/>
    <x v="0"/>
    <n v="20"/>
    <n v="15"/>
    <x v="7"/>
  </r>
  <r>
    <n v="3501"/>
    <x v="259"/>
    <x v="1"/>
    <d v="2024-11-22T00:00:00"/>
    <x v="1"/>
    <n v="5"/>
    <x v="0"/>
    <x v="1"/>
    <x v="1"/>
    <x v="1"/>
    <n v="0"/>
    <n v="1"/>
    <x v="4"/>
  </r>
  <r>
    <n v="3502"/>
    <x v="260"/>
    <x v="0"/>
    <d v="2024-11-23T00:00:00"/>
    <x v="0"/>
    <n v="15"/>
    <x v="2"/>
    <x v="0"/>
    <x v="0"/>
    <x v="0"/>
    <n v="20"/>
    <n v="7"/>
    <x v="12"/>
  </r>
  <r>
    <n v="3503"/>
    <x v="119"/>
    <x v="2"/>
    <d v="2024-11-24T00:00:00"/>
    <x v="1"/>
    <n v="10"/>
    <x v="0"/>
    <x v="1"/>
    <x v="1"/>
    <x v="0"/>
    <n v="20"/>
    <n v="10"/>
    <x v="2"/>
  </r>
  <r>
    <n v="3504"/>
    <x v="261"/>
    <x v="1"/>
    <d v="2024-11-25T00:00:00"/>
    <x v="0"/>
    <n v="5"/>
    <x v="1"/>
    <x v="1"/>
    <x v="1"/>
    <x v="1"/>
    <n v="0"/>
    <n v="0"/>
    <x v="1"/>
  </r>
  <r>
    <n v="3505"/>
    <x v="262"/>
    <x v="0"/>
    <d v="2024-11-26T00:00:00"/>
    <x v="1"/>
    <n v="15"/>
    <x v="0"/>
    <x v="0"/>
    <x v="0"/>
    <x v="0"/>
    <n v="20"/>
    <n v="20"/>
    <x v="8"/>
  </r>
  <r>
    <n v="3506"/>
    <x v="263"/>
    <x v="2"/>
    <d v="2024-11-27T00:00:00"/>
    <x v="0"/>
    <n v="10"/>
    <x v="2"/>
    <x v="1"/>
    <x v="1"/>
    <x v="0"/>
    <n v="20"/>
    <n v="15"/>
    <x v="7"/>
  </r>
  <r>
    <n v="3507"/>
    <x v="264"/>
    <x v="1"/>
    <d v="2024-11-28T00:00:00"/>
    <x v="1"/>
    <n v="5"/>
    <x v="0"/>
    <x v="1"/>
    <x v="1"/>
    <x v="1"/>
    <n v="0"/>
    <n v="1"/>
    <x v="4"/>
  </r>
  <r>
    <n v="3508"/>
    <x v="265"/>
    <x v="0"/>
    <d v="2024-11-29T00:00:00"/>
    <x v="0"/>
    <n v="15"/>
    <x v="1"/>
    <x v="0"/>
    <x v="0"/>
    <x v="0"/>
    <n v="20"/>
    <n v="3"/>
    <x v="3"/>
  </r>
  <r>
    <n v="3509"/>
    <x v="266"/>
    <x v="2"/>
    <d v="2024-11-30T00:00:00"/>
    <x v="1"/>
    <n v="10"/>
    <x v="0"/>
    <x v="1"/>
    <x v="1"/>
    <x v="0"/>
    <n v="20"/>
    <n v="10"/>
    <x v="2"/>
  </r>
  <r>
    <n v="3510"/>
    <x v="267"/>
    <x v="1"/>
    <d v="2024-12-01T00:00:00"/>
    <x v="0"/>
    <n v="5"/>
    <x v="2"/>
    <x v="1"/>
    <x v="1"/>
    <x v="1"/>
    <n v="0"/>
    <n v="0"/>
    <x v="1"/>
  </r>
  <r>
    <n v="3511"/>
    <x v="268"/>
    <x v="0"/>
    <d v="2024-12-02T00:00:00"/>
    <x v="1"/>
    <n v="15"/>
    <x v="0"/>
    <x v="0"/>
    <x v="0"/>
    <x v="0"/>
    <n v="20"/>
    <n v="15"/>
    <x v="14"/>
  </r>
  <r>
    <n v="3512"/>
    <x v="269"/>
    <x v="2"/>
    <d v="2024-12-03T00:00:00"/>
    <x v="0"/>
    <n v="10"/>
    <x v="1"/>
    <x v="1"/>
    <x v="1"/>
    <x v="0"/>
    <n v="20"/>
    <n v="15"/>
    <x v="7"/>
  </r>
  <r>
    <n v="3513"/>
    <x v="270"/>
    <x v="1"/>
    <d v="2024-12-04T00:00:00"/>
    <x v="1"/>
    <n v="5"/>
    <x v="0"/>
    <x v="1"/>
    <x v="1"/>
    <x v="1"/>
    <n v="0"/>
    <n v="1"/>
    <x v="4"/>
  </r>
  <r>
    <n v="3514"/>
    <x v="271"/>
    <x v="0"/>
    <d v="2024-12-05T00:00:00"/>
    <x v="0"/>
    <n v="15"/>
    <x v="2"/>
    <x v="0"/>
    <x v="0"/>
    <x v="0"/>
    <n v="20"/>
    <n v="7"/>
    <x v="12"/>
  </r>
  <r>
    <n v="3515"/>
    <x v="130"/>
    <x v="2"/>
    <d v="2024-12-06T00:00:00"/>
    <x v="1"/>
    <n v="10"/>
    <x v="0"/>
    <x v="1"/>
    <x v="1"/>
    <x v="0"/>
    <n v="20"/>
    <n v="10"/>
    <x v="2"/>
  </r>
  <r>
    <n v="3516"/>
    <x v="131"/>
    <x v="1"/>
    <d v="2024-12-07T00:00:00"/>
    <x v="0"/>
    <n v="5"/>
    <x v="1"/>
    <x v="1"/>
    <x v="1"/>
    <x v="1"/>
    <n v="0"/>
    <n v="0"/>
    <x v="1"/>
  </r>
  <r>
    <n v="3517"/>
    <x v="181"/>
    <x v="0"/>
    <d v="2024-12-08T00:00:00"/>
    <x v="1"/>
    <n v="15"/>
    <x v="0"/>
    <x v="0"/>
    <x v="0"/>
    <x v="0"/>
    <n v="20"/>
    <n v="20"/>
    <x v="8"/>
  </r>
  <r>
    <n v="3518"/>
    <x v="272"/>
    <x v="2"/>
    <d v="2024-12-09T00:00:00"/>
    <x v="0"/>
    <n v="10"/>
    <x v="2"/>
    <x v="1"/>
    <x v="1"/>
    <x v="0"/>
    <n v="20"/>
    <n v="12"/>
    <x v="10"/>
  </r>
  <r>
    <n v="3519"/>
    <x v="273"/>
    <x v="1"/>
    <d v="2024-12-10T00:00:00"/>
    <x v="1"/>
    <n v="5"/>
    <x v="0"/>
    <x v="1"/>
    <x v="1"/>
    <x v="1"/>
    <n v="0"/>
    <n v="2"/>
    <x v="11"/>
  </r>
  <r>
    <n v="3520"/>
    <x v="274"/>
    <x v="0"/>
    <d v="2024-12-11T00:00:00"/>
    <x v="0"/>
    <n v="15"/>
    <x v="1"/>
    <x v="0"/>
    <x v="0"/>
    <x v="0"/>
    <n v="20"/>
    <n v="5"/>
    <x v="0"/>
  </r>
  <r>
    <n v="3521"/>
    <x v="275"/>
    <x v="2"/>
    <d v="2024-12-12T00:00:00"/>
    <x v="1"/>
    <n v="10"/>
    <x v="0"/>
    <x v="1"/>
    <x v="1"/>
    <x v="0"/>
    <n v="20"/>
    <n v="10"/>
    <x v="2"/>
  </r>
  <r>
    <n v="3522"/>
    <x v="276"/>
    <x v="1"/>
    <d v="2024-12-13T00:00:00"/>
    <x v="0"/>
    <n v="5"/>
    <x v="2"/>
    <x v="1"/>
    <x v="1"/>
    <x v="1"/>
    <n v="0"/>
    <n v="0"/>
    <x v="1"/>
  </r>
  <r>
    <n v="3523"/>
    <x v="277"/>
    <x v="0"/>
    <d v="2024-12-14T00:00:00"/>
    <x v="1"/>
    <n v="15"/>
    <x v="0"/>
    <x v="0"/>
    <x v="0"/>
    <x v="0"/>
    <n v="20"/>
    <n v="3"/>
    <x v="3"/>
  </r>
  <r>
    <n v="3524"/>
    <x v="278"/>
    <x v="2"/>
    <d v="2024-12-15T00:00:00"/>
    <x v="0"/>
    <n v="10"/>
    <x v="1"/>
    <x v="1"/>
    <x v="1"/>
    <x v="0"/>
    <n v="20"/>
    <n v="15"/>
    <x v="7"/>
  </r>
  <r>
    <n v="3525"/>
    <x v="279"/>
    <x v="1"/>
    <d v="2024-12-16T00:00:00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7309E-963D-49B7-8A34-0EDE2445A6D8}" name="Tabela dinâmica10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18:F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55D62-7123-43EC-A11D-14A161C663E5}" name="Tabela dinâmica6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47:C5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Coupon Value" fld="11" baseField="2" baseItem="0" numFmtId="4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9A6BD-D6DB-4BD8-82C0-BC0309DD60C1}" name="Tabela dinâmica5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3:D40" firstHeaderRow="0" firstDataRow="1" firstDataCol="1" rowPageCount="1" colPageCount="1"/>
  <pivotFields count="13">
    <pivotField showAll="0"/>
    <pivotField showAll="0"/>
    <pivotField axis="axisRow" showAll="0" measureFilter="1">
      <items count="4">
        <item sd="0"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3">
    <field x="2"/>
    <field x="9"/>
    <field x="7"/>
  </rowFields>
  <rowItems count="7">
    <i>
      <x v="1"/>
    </i>
    <i r="1">
      <x v="1"/>
    </i>
    <i r="2">
      <x/>
    </i>
    <i>
      <x v="2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Minecraft Season Pass Price" fld="10" baseField="2" baseItem="0" numFmtId="44"/>
    <dataField name="Soma de EA Play Season Pass" fld="8" baseField="2" baseItem="0" numFmtId="44"/>
  </dataFields>
  <pivotTableStyleInfo name="PivotStyleLight16" showRowHeaders="1" showColHeaders="1" showRowStripes="0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57C30-46AA-482D-B064-364623FD9B65}" name="tabela_renovacao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B8:C11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n="No Auto Renewal" x="1"/>
        <item n="Auto Renewal"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4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3EC9A-3EF0-4288-8812-4FCEBFF82FA0}" name="tabela_cliente_plano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 rowHeaderCaption="Plan">
  <location ref="B18:C22" firstHeaderRow="1" firstDataRow="1" firstDataCol="1" rowPageCount="1" colPageCount="1"/>
  <pivotFields count="13">
    <pivotField showAll="0"/>
    <pivotField dataField="1" showAll="0"/>
    <pivotField axis="axisRow" showAll="0" defaultSubtotal="0">
      <items count="3">
        <item x="1"/>
        <item x="2"/>
        <item x="0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ustomers" fld="1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02B3CF5-D469-4610-AEC3-23B82974D8F8}" sourceName="Subscription Type">
  <pivotTables>
    <pivotTable tabId="3" name="tabela_renovacao"/>
    <pivotTable tabId="3" name="tabela_cliente_plano"/>
    <pivotTable tabId="3" name="Tabela dinâmica5"/>
    <pivotTable tabId="3" name="Tabela dinâmica6"/>
    <pivotTable tabId="3" name="Tabela dinâmica10"/>
  </pivotTables>
  <data>
    <tabular pivotCacheId="330428116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6A2DCB2D-F5C3-4DB4-B898-38271798B432}" sourceName="Plan">
  <pivotTables>
    <pivotTable tabId="3" name="tabela_renovacao"/>
  </pivotTables>
  <data>
    <tabular pivotCacheId="330428116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00F1C38-CFDD-49A7-939B-D83FAB20A4E6}" cache="SegmentaçãodeDados_Subscription_Type" caption="Subscription Type" style="SlicerStyleLight6 2" rowHeight="252000"/>
  <slicer name="Plan" xr10:uid="{3167D8F1-0E29-4F37-AFAE-5C7C0BE8CCA0}" cache="SegmentaçãodeDados_Plan" caption="Plan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47" sqref="C4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  <c r="H5" s="3" t="s">
        <v>325</v>
      </c>
      <c r="L5" s="25" t="s">
        <v>334</v>
      </c>
      <c r="N5" s="4" t="s">
        <v>329</v>
      </c>
    </row>
    <row r="6" spans="2:16">
      <c r="B6" s="4" t="s">
        <v>3</v>
      </c>
      <c r="C6" t="s">
        <v>8</v>
      </c>
      <c r="H6" s="18" t="s">
        <v>326</v>
      </c>
      <c r="J6" s="21" t="s">
        <v>330</v>
      </c>
      <c r="N6" s="24" t="s">
        <v>333</v>
      </c>
    </row>
    <row r="7" spans="2:16">
      <c r="B7" s="5" t="s">
        <v>4</v>
      </c>
      <c r="C7" t="s">
        <v>9</v>
      </c>
      <c r="H7" s="19" t="s">
        <v>327</v>
      </c>
      <c r="K7" s="27" t="s">
        <v>336</v>
      </c>
      <c r="N7" s="26" t="s">
        <v>335</v>
      </c>
    </row>
    <row r="8" spans="2:16">
      <c r="B8" s="6" t="s">
        <v>5</v>
      </c>
      <c r="C8" t="s">
        <v>9</v>
      </c>
      <c r="H8" s="20" t="s">
        <v>328</v>
      </c>
      <c r="J8" s="23" t="s">
        <v>332</v>
      </c>
      <c r="K8" s="28" t="s">
        <v>337</v>
      </c>
      <c r="N8" s="22" t="s">
        <v>331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47" sqref="C47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F51"/>
  <sheetViews>
    <sheetView showGridLines="0" topLeftCell="A37" zoomScale="90" zoomScaleNormal="90" workbookViewId="0">
      <selection activeCell="C47" sqref="C47"/>
    </sheetView>
  </sheetViews>
  <sheetFormatPr defaultRowHeight="14.25"/>
  <cols>
    <col min="2" max="2" width="18.125" bestFit="1" customWidth="1"/>
    <col min="3" max="3" width="19.875" bestFit="1" customWidth="1"/>
    <col min="4" max="4" width="28.5" bestFit="1" customWidth="1"/>
    <col min="5" max="5" width="18.125" bestFit="1" customWidth="1"/>
    <col min="6" max="8" width="19.875" bestFit="1" customWidth="1"/>
    <col min="9" max="9" width="11.625" bestFit="1" customWidth="1"/>
    <col min="10" max="10" width="39.375" bestFit="1" customWidth="1"/>
    <col min="11" max="11" width="38.5" bestFit="1" customWidth="1"/>
    <col min="12" max="12" width="39.125" bestFit="1" customWidth="1"/>
    <col min="13" max="13" width="37.75" bestFit="1" customWidth="1"/>
    <col min="14" max="14" width="44.5" bestFit="1" customWidth="1"/>
    <col min="15" max="15" width="9.75" bestFit="1" customWidth="1"/>
    <col min="16" max="16" width="15.625" bestFit="1" customWidth="1"/>
    <col min="17" max="17" width="12.125" bestFit="1" customWidth="1"/>
  </cols>
  <sheetData>
    <row r="4" spans="2:6">
      <c r="B4" t="s">
        <v>313</v>
      </c>
    </row>
    <row r="5" spans="2:6">
      <c r="B5" t="s">
        <v>314</v>
      </c>
    </row>
    <row r="6" spans="2:6">
      <c r="B6" s="12" t="s">
        <v>16</v>
      </c>
      <c r="C6" t="s">
        <v>322</v>
      </c>
    </row>
    <row r="8" spans="2:6">
      <c r="B8" s="12" t="s">
        <v>315</v>
      </c>
      <c r="C8" t="s">
        <v>317</v>
      </c>
    </row>
    <row r="9" spans="2:6">
      <c r="B9" s="13" t="s">
        <v>340</v>
      </c>
      <c r="C9" s="15">
        <v>3847</v>
      </c>
    </row>
    <row r="10" spans="2:6">
      <c r="B10" s="13" t="s">
        <v>15</v>
      </c>
      <c r="C10" s="15">
        <v>3786</v>
      </c>
    </row>
    <row r="11" spans="2:6">
      <c r="B11" s="13" t="s">
        <v>316</v>
      </c>
      <c r="C11" s="15">
        <v>7633</v>
      </c>
    </row>
    <row r="14" spans="2:6">
      <c r="B14" s="13" t="s">
        <v>318</v>
      </c>
    </row>
    <row r="15" spans="2:6">
      <c r="B15" s="13"/>
    </row>
    <row r="16" spans="2:6">
      <c r="B16" s="12" t="s">
        <v>16</v>
      </c>
      <c r="C16" t="s">
        <v>322</v>
      </c>
      <c r="E16" s="12" t="s">
        <v>16</v>
      </c>
      <c r="F16" t="s">
        <v>322</v>
      </c>
    </row>
    <row r="18" spans="2:6">
      <c r="B18" s="12" t="s">
        <v>13</v>
      </c>
      <c r="C18" t="s">
        <v>339</v>
      </c>
      <c r="E18" s="12" t="s">
        <v>315</v>
      </c>
      <c r="F18" t="s">
        <v>317</v>
      </c>
    </row>
    <row r="19" spans="2:6">
      <c r="B19" s="13" t="s">
        <v>22</v>
      </c>
      <c r="C19" s="14">
        <v>101</v>
      </c>
      <c r="E19" s="13" t="s">
        <v>22</v>
      </c>
      <c r="F19" s="15">
        <v>444</v>
      </c>
    </row>
    <row r="20" spans="2:6">
      <c r="B20" s="13" t="s">
        <v>26</v>
      </c>
      <c r="C20" s="14">
        <v>96</v>
      </c>
      <c r="E20" s="13" t="s">
        <v>26</v>
      </c>
      <c r="F20" s="15">
        <v>1801</v>
      </c>
    </row>
    <row r="21" spans="2:6">
      <c r="B21" s="13" t="s">
        <v>18</v>
      </c>
      <c r="C21" s="14">
        <v>98</v>
      </c>
      <c r="E21" s="13" t="s">
        <v>18</v>
      </c>
      <c r="F21" s="15">
        <v>5388</v>
      </c>
    </row>
    <row r="22" spans="2:6">
      <c r="B22" s="13" t="s">
        <v>316</v>
      </c>
      <c r="C22" s="14">
        <v>295</v>
      </c>
      <c r="E22" s="13" t="s">
        <v>316</v>
      </c>
      <c r="F22" s="15">
        <v>7633</v>
      </c>
    </row>
    <row r="23" spans="2:6">
      <c r="B23" s="13"/>
      <c r="C23" s="14">
        <f>GETPIVOTDATA("Name",$B$18,"Plan","Core")</f>
        <v>101</v>
      </c>
      <c r="D23" s="15"/>
      <c r="E23" s="15"/>
      <c r="F23" s="33">
        <f>GETPIVOTDATA("Total Value",$E$18,"Plan","Core")</f>
        <v>444</v>
      </c>
    </row>
    <row r="24" spans="2:6">
      <c r="B24" s="13"/>
      <c r="C24" s="14">
        <f>GETPIVOTDATA("Name",$B$18,"Plan","Standard")</f>
        <v>96</v>
      </c>
      <c r="D24" s="15"/>
      <c r="E24" s="15"/>
      <c r="F24" s="33">
        <f>GETPIVOTDATA("Total Value",$E$18,"Plan","Standard")</f>
        <v>1801</v>
      </c>
    </row>
    <row r="25" spans="2:6">
      <c r="B25" s="13"/>
      <c r="C25" s="14">
        <f>GETPIVOTDATA("Name",$B$18,"Plan","Ultimate")</f>
        <v>98</v>
      </c>
      <c r="D25" s="15"/>
      <c r="E25" s="15"/>
      <c r="F25" s="33">
        <f>GETPIVOTDATA("Total Value",$E$18,"Plan","Ultimate")</f>
        <v>5388</v>
      </c>
    </row>
    <row r="26" spans="2:6">
      <c r="B26" s="13"/>
      <c r="C26" s="14">
        <f>GETPIVOTDATA("Name",$B$18)</f>
        <v>295</v>
      </c>
      <c r="D26" s="15"/>
      <c r="E26" s="15"/>
    </row>
    <row r="27" spans="2:6">
      <c r="B27" s="13"/>
      <c r="C27" s="14"/>
      <c r="D27" s="15"/>
      <c r="E27" s="15"/>
    </row>
    <row r="28" spans="2:6">
      <c r="B28" s="13"/>
      <c r="C28" s="14"/>
      <c r="D28" s="15"/>
      <c r="E28" s="15"/>
    </row>
    <row r="29" spans="2:6">
      <c r="B29" s="13" t="s">
        <v>319</v>
      </c>
      <c r="C29" s="14"/>
      <c r="D29" s="15"/>
      <c r="E29" s="15"/>
    </row>
    <row r="30" spans="2:6">
      <c r="B30" s="13"/>
      <c r="C30" s="14"/>
      <c r="D30" s="15"/>
      <c r="E30" s="15"/>
    </row>
    <row r="31" spans="2:6">
      <c r="B31" s="12" t="s">
        <v>16</v>
      </c>
      <c r="C31" t="s">
        <v>322</v>
      </c>
    </row>
    <row r="33" spans="2:4">
      <c r="B33" s="12" t="s">
        <v>315</v>
      </c>
      <c r="C33" t="s">
        <v>320</v>
      </c>
      <c r="D33" t="s">
        <v>321</v>
      </c>
    </row>
    <row r="34" spans="2:4">
      <c r="B34" s="13" t="s">
        <v>26</v>
      </c>
      <c r="C34" s="15">
        <v>1920</v>
      </c>
      <c r="D34" s="15">
        <v>0</v>
      </c>
    </row>
    <row r="35" spans="2:4">
      <c r="B35" s="16" t="s">
        <v>19</v>
      </c>
      <c r="C35" s="15">
        <v>1920</v>
      </c>
      <c r="D35" s="15">
        <v>0</v>
      </c>
    </row>
    <row r="36" spans="2:4">
      <c r="B36" s="17" t="s">
        <v>23</v>
      </c>
      <c r="C36" s="15">
        <v>1920</v>
      </c>
      <c r="D36" s="15">
        <v>0</v>
      </c>
    </row>
    <row r="37" spans="2:4">
      <c r="B37" s="13" t="s">
        <v>18</v>
      </c>
      <c r="C37" s="15">
        <v>1960</v>
      </c>
      <c r="D37" s="15">
        <v>2940</v>
      </c>
    </row>
    <row r="38" spans="2:4">
      <c r="B38" s="16" t="s">
        <v>19</v>
      </c>
      <c r="C38" s="15">
        <v>1960</v>
      </c>
      <c r="D38" s="15">
        <v>2940</v>
      </c>
    </row>
    <row r="39" spans="2:4">
      <c r="B39" s="17" t="s">
        <v>19</v>
      </c>
      <c r="C39" s="15">
        <v>1960</v>
      </c>
      <c r="D39" s="15">
        <v>2940</v>
      </c>
    </row>
    <row r="40" spans="2:4">
      <c r="B40" s="13" t="s">
        <v>316</v>
      </c>
      <c r="C40" s="15">
        <v>3880</v>
      </c>
      <c r="D40" s="15">
        <v>2940</v>
      </c>
    </row>
    <row r="41" spans="2:4">
      <c r="C41" s="32">
        <f>GETPIVOTDATA("Soma de Minecraft Season Pass Price",$B$33)</f>
        <v>3880</v>
      </c>
      <c r="D41" s="32">
        <f>GETPIVOTDATA("Soma de EA Play Season Pass",$B$33)</f>
        <v>2940</v>
      </c>
    </row>
    <row r="42" spans="2:4">
      <c r="B42" t="s">
        <v>323</v>
      </c>
    </row>
    <row r="45" spans="2:4">
      <c r="B45" s="12" t="s">
        <v>16</v>
      </c>
      <c r="C45" t="s">
        <v>322</v>
      </c>
    </row>
    <row r="47" spans="2:4">
      <c r="B47" s="12" t="s">
        <v>315</v>
      </c>
      <c r="C47" t="s">
        <v>324</v>
      </c>
    </row>
    <row r="48" spans="2:4">
      <c r="B48" s="13" t="s">
        <v>22</v>
      </c>
      <c r="C48" s="15">
        <v>61</v>
      </c>
    </row>
    <row r="49" spans="2:3">
      <c r="B49" s="13" t="s">
        <v>26</v>
      </c>
      <c r="C49" s="15">
        <v>1079</v>
      </c>
    </row>
    <row r="50" spans="2:3">
      <c r="B50" s="13" t="s">
        <v>18</v>
      </c>
      <c r="C50" s="15">
        <v>982</v>
      </c>
    </row>
    <row r="51" spans="2:3">
      <c r="B51" s="13" t="s">
        <v>316</v>
      </c>
      <c r="C51" s="15">
        <v>2122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101"/>
  <sheetViews>
    <sheetView showGridLines="0" showRowColHeaders="0" tabSelected="1" zoomScaleNormal="100" workbookViewId="0">
      <selection activeCell="N2" sqref="N2"/>
    </sheetView>
  </sheetViews>
  <sheetFormatPr defaultRowHeight="14.25"/>
  <cols>
    <col min="1" max="1" width="22.75" style="29" customWidth="1"/>
    <col min="2" max="2" width="3.625" customWidth="1"/>
    <col min="3" max="3" width="5.875" customWidth="1"/>
    <col min="12" max="12" width="6.625" customWidth="1"/>
  </cols>
  <sheetData>
    <row r="1" spans="1:26">
      <c r="A1" s="26"/>
    </row>
    <row r="2" spans="1:26" ht="27.75" customHeight="1" thickBot="1">
      <c r="A2" s="26"/>
      <c r="C2" s="34"/>
      <c r="D2" s="35" t="s">
        <v>338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26" ht="14.25" customHeight="1" thickTop="1">
      <c r="A3" s="26"/>
      <c r="D3" s="30"/>
    </row>
    <row r="4" spans="1:26" ht="8.25" customHeight="1">
      <c r="A4" s="2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7.5" customHeight="1">
      <c r="A5" s="2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36" t="s">
        <v>341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9.75" customHeight="1">
      <c r="A7" s="2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3" customHeight="1">
      <c r="A8" s="2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2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2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2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2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2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2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2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2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2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2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2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2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2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2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2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2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2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2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2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2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2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2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2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2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2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2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2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2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2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2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2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2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2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2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2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2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2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2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2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2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2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2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2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2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2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2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2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2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2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2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2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2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2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2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2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2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2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2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2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2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2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2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2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2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2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2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2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2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2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2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2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2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2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2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2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2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2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2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2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2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2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2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2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2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2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2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2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2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Guedes</cp:lastModifiedBy>
  <dcterms:created xsi:type="dcterms:W3CDTF">2024-12-19T13:13:10Z</dcterms:created>
  <dcterms:modified xsi:type="dcterms:W3CDTF">2026-01-21T23:08:26Z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